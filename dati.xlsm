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SNAVE\Desktop\app turni\"/>
    </mc:Choice>
  </mc:AlternateContent>
  <xr:revisionPtr revIDLastSave="0" documentId="13_ncr:1_{30687D56-AD71-41EE-A0D3-FD9B86E3C14C}" xr6:coauthVersionLast="47" xr6:coauthVersionMax="47" xr10:uidLastSave="{00000000-0000-0000-0000-000000000000}"/>
  <bookViews>
    <workbookView xWindow="-120" yWindow="-120" windowWidth="38640" windowHeight="21120" activeTab="1" xr2:uid="{CC3A7232-E383-4951-989D-4A29E7271CBA}"/>
  </bookViews>
  <sheets>
    <sheet name="Dashboard Settimana" sheetId="3" r:id="rId1"/>
    <sheet name="Visualizza" sheetId="38" r:id="rId2"/>
    <sheet name="20" sheetId="7" r:id="rId3"/>
    <sheet name="21" sheetId="11" r:id="rId4"/>
    <sheet name="22" sheetId="31" r:id="rId5"/>
    <sheet name="23" sheetId="32" r:id="rId6"/>
    <sheet name="Riepilogo" sheetId="37" r:id="rId7"/>
  </sheets>
  <definedNames>
    <definedName name="_xlnm._FilterDatabase" localSheetId="6" hidden="1">Riepilogo!$A$1:$N$345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8" l="1"/>
  <c r="A4" i="38"/>
  <c r="A5" i="38"/>
  <c r="A6" i="38"/>
  <c r="A7" i="38"/>
  <c r="A8" i="38"/>
  <c r="A9" i="38"/>
  <c r="A10" i="38"/>
  <c r="A11" i="38"/>
  <c r="A12" i="38"/>
  <c r="A13" i="38"/>
  <c r="A14" i="38"/>
  <c r="A15" i="38"/>
  <c r="A16" i="38"/>
  <c r="A17" i="38"/>
  <c r="G17" i="38"/>
  <c r="H17" i="38"/>
  <c r="I17" i="38"/>
  <c r="A18" i="38"/>
  <c r="C18" i="38"/>
  <c r="D18" i="38"/>
  <c r="E18" i="38"/>
  <c r="F18" i="38"/>
  <c r="G18" i="38"/>
  <c r="H18" i="38"/>
  <c r="I18" i="38"/>
  <c r="A19" i="38"/>
  <c r="C19" i="38"/>
  <c r="D19" i="38"/>
  <c r="E19" i="38"/>
  <c r="F19" i="38"/>
  <c r="G19" i="38"/>
  <c r="H19" i="38"/>
  <c r="I19" i="38"/>
  <c r="A20" i="38"/>
  <c r="C20" i="38"/>
  <c r="D20" i="38"/>
  <c r="E20" i="38"/>
  <c r="F20" i="38"/>
  <c r="G20" i="38"/>
  <c r="H20" i="38"/>
  <c r="I20" i="38"/>
  <c r="A21" i="38"/>
  <c r="B21" i="38"/>
  <c r="C21" i="38"/>
  <c r="D21" i="38"/>
  <c r="E21" i="38"/>
  <c r="F21" i="38"/>
  <c r="G21" i="38"/>
  <c r="H21" i="38"/>
  <c r="I21" i="38"/>
  <c r="A22" i="38"/>
  <c r="B22" i="38"/>
  <c r="C22" i="38"/>
  <c r="D22" i="38"/>
  <c r="E22" i="38"/>
  <c r="F22" i="38"/>
  <c r="G22" i="38"/>
  <c r="H22" i="38"/>
  <c r="I22" i="38"/>
  <c r="A23" i="38"/>
  <c r="B23" i="38"/>
  <c r="C23" i="38"/>
  <c r="D23" i="38"/>
  <c r="E23" i="38"/>
  <c r="F23" i="38"/>
  <c r="G23" i="38"/>
  <c r="H23" i="38"/>
  <c r="I23" i="38"/>
  <c r="A24" i="38"/>
  <c r="A25" i="38"/>
  <c r="A26" i="38"/>
  <c r="A27" i="38"/>
  <c r="H27" i="38"/>
  <c r="I27" i="38"/>
  <c r="B2" i="38"/>
  <c r="C2" i="38"/>
  <c r="D2" i="38"/>
  <c r="E2" i="38"/>
  <c r="F2" i="38"/>
  <c r="G2" i="38"/>
  <c r="H2" i="38"/>
  <c r="I2" i="38"/>
  <c r="A2" i="38"/>
  <c r="H9" i="32"/>
  <c r="I9" i="32" s="1"/>
  <c r="J9" i="32" s="1"/>
  <c r="G9" i="32"/>
  <c r="H8" i="32"/>
  <c r="I8" i="32" s="1"/>
  <c r="G8" i="32"/>
  <c r="H7" i="32"/>
  <c r="I7" i="32" s="1"/>
  <c r="G7" i="32"/>
  <c r="H6" i="32"/>
  <c r="I6" i="32" s="1"/>
  <c r="G6" i="32"/>
  <c r="H5" i="32"/>
  <c r="I5" i="32" s="1"/>
  <c r="G5" i="32"/>
  <c r="H4" i="32"/>
  <c r="I4" i="32" s="1"/>
  <c r="G4" i="32"/>
  <c r="H3" i="32"/>
  <c r="I3" i="32" s="1"/>
  <c r="G3" i="32"/>
  <c r="H2" i="32"/>
  <c r="I2" i="32" s="1"/>
  <c r="G2" i="32"/>
  <c r="H9" i="31"/>
  <c r="G9" i="31"/>
  <c r="H8" i="31"/>
  <c r="G8" i="31"/>
  <c r="H7" i="31"/>
  <c r="G7" i="31"/>
  <c r="H6" i="31"/>
  <c r="G6" i="31"/>
  <c r="H5" i="31"/>
  <c r="G5" i="31"/>
  <c r="H4" i="31"/>
  <c r="G4" i="31"/>
  <c r="H3" i="31"/>
  <c r="G3" i="31"/>
  <c r="H2" i="31"/>
  <c r="G2" i="31"/>
  <c r="H9" i="11"/>
  <c r="I9" i="11" s="1"/>
  <c r="G9" i="11"/>
  <c r="H8" i="11"/>
  <c r="I8" i="11" s="1"/>
  <c r="G8" i="11"/>
  <c r="H7" i="11"/>
  <c r="I7" i="11" s="1"/>
  <c r="G7" i="11"/>
  <c r="H6" i="11"/>
  <c r="I6" i="11" s="1"/>
  <c r="G6" i="11"/>
  <c r="H5" i="11"/>
  <c r="I5" i="11" s="1"/>
  <c r="G5" i="11"/>
  <c r="H4" i="11"/>
  <c r="I4" i="11" s="1"/>
  <c r="G4" i="11"/>
  <c r="H3" i="11"/>
  <c r="I3" i="11" s="1"/>
  <c r="G3" i="11"/>
  <c r="H2" i="11"/>
  <c r="I2" i="11" s="1"/>
  <c r="G2" i="11"/>
  <c r="H2" i="7"/>
  <c r="I2" i="7" s="1"/>
  <c r="H3" i="7"/>
  <c r="I3" i="7" s="1"/>
  <c r="H4" i="7"/>
  <c r="I4" i="7" s="1"/>
  <c r="J4" i="31" s="1"/>
  <c r="H5" i="7"/>
  <c r="I5" i="7" s="1"/>
  <c r="J5" i="31" s="1"/>
  <c r="H6" i="7"/>
  <c r="I6" i="7" s="1"/>
  <c r="J6" i="31" s="1"/>
  <c r="H7" i="7"/>
  <c r="I7" i="7" s="1"/>
  <c r="H8" i="7"/>
  <c r="I8" i="7" s="1"/>
  <c r="H9" i="7"/>
  <c r="I9" i="7" s="1"/>
  <c r="G2" i="7"/>
  <c r="G3" i="7"/>
  <c r="G4" i="7"/>
  <c r="G5" i="7"/>
  <c r="G6" i="7"/>
  <c r="G7" i="7"/>
  <c r="G8" i="7"/>
  <c r="G9" i="7"/>
  <c r="C2" i="3" a="1"/>
  <c r="H2" i="3" a="1"/>
  <c r="J2" i="3" a="1"/>
  <c r="I2" i="3" a="1"/>
  <c r="F2" i="3" a="1"/>
  <c r="D2" i="3" a="1"/>
  <c r="E2" i="3" a="1"/>
  <c r="G2" i="3" a="1"/>
  <c r="J3" i="31" l="1"/>
  <c r="J2" i="31"/>
  <c r="J2" i="32"/>
  <c r="J4" i="32"/>
  <c r="J3" i="32"/>
  <c r="J5" i="32"/>
  <c r="J6" i="32"/>
  <c r="J7" i="32"/>
  <c r="J8" i="32"/>
  <c r="J8" i="31"/>
  <c r="J7" i="31"/>
  <c r="J9" i="31"/>
  <c r="I3" i="31"/>
  <c r="I8" i="31"/>
  <c r="I4" i="31"/>
  <c r="I5" i="31"/>
  <c r="I6" i="31"/>
  <c r="I7" i="31"/>
  <c r="I2" i="31"/>
  <c r="I9" i="31"/>
  <c r="J3" i="11"/>
  <c r="J4" i="11"/>
  <c r="J5" i="11"/>
  <c r="J6" i="11"/>
  <c r="J7" i="11"/>
  <c r="J8" i="11"/>
  <c r="J9" i="11"/>
  <c r="J2" i="11"/>
  <c r="J2" i="3"/>
  <c r="I3" i="38" s="1"/>
  <c r="I2" i="3"/>
  <c r="H3" i="38" s="1"/>
  <c r="H2" i="3"/>
  <c r="G3" i="38" s="1"/>
  <c r="G2" i="3"/>
  <c r="F3" i="38" s="1"/>
  <c r="F2" i="3"/>
  <c r="E3" i="38" s="1"/>
  <c r="E2" i="3"/>
  <c r="D3" i="38" s="1"/>
  <c r="D2" i="3"/>
  <c r="C3" i="38" s="1"/>
  <c r="C2" i="3"/>
  <c r="B3" i="38" s="1"/>
  <c r="J8" i="7"/>
  <c r="J7" i="7"/>
  <c r="J6" i="7"/>
  <c r="J4" i="7"/>
  <c r="J9" i="7"/>
  <c r="J5" i="7"/>
  <c r="J3" i="7"/>
  <c r="J2" i="7"/>
  <c r="J10" i="3" a="1"/>
  <c r="H9" i="3" a="1"/>
  <c r="G9" i="3" a="1"/>
  <c r="H8" i="3" a="1"/>
  <c r="I5" i="3" a="1"/>
  <c r="H5" i="3" a="1"/>
  <c r="F5" i="3" a="1"/>
  <c r="G4" i="3" a="1"/>
  <c r="F4" i="3" a="1"/>
  <c r="H23" i="3" a="1"/>
  <c r="C4" i="3" a="1"/>
  <c r="G3" i="3" a="1"/>
  <c r="J3" i="3" a="1"/>
  <c r="E3" i="3" a="1"/>
  <c r="F10" i="3" a="1"/>
  <c r="J8" i="3" a="1"/>
  <c r="E10" i="3" a="1"/>
  <c r="G6" i="3" a="1"/>
  <c r="H6" i="3" a="1"/>
  <c r="D5" i="3" a="1"/>
  <c r="E6" i="3" a="1"/>
  <c r="C6" i="3" a="1"/>
  <c r="I4" i="3" a="1"/>
  <c r="E5" i="3" a="1"/>
  <c r="H4" i="3" a="1"/>
  <c r="J23" i="3" a="1"/>
  <c r="I23" i="3" a="1"/>
  <c r="G23" i="3" a="1"/>
  <c r="F23" i="3" a="1"/>
  <c r="E23" i="3" a="1"/>
  <c r="D3" i="3" a="1"/>
  <c r="C23" i="3" a="1"/>
  <c r="E11" i="3" a="1"/>
  <c r="I7" i="3" a="1"/>
  <c r="C11" i="3" a="1"/>
  <c r="G10" i="3" a="1"/>
  <c r="E7" i="3" a="1"/>
  <c r="J7" i="3" a="1"/>
  <c r="G7" i="3" a="1"/>
  <c r="I10" i="3" a="1"/>
  <c r="I6" i="3" a="1"/>
  <c r="I8" i="3" a="1"/>
  <c r="F9" i="3" a="1"/>
  <c r="E8" i="3" a="1"/>
  <c r="C5" i="3" a="1"/>
  <c r="J11" i="3" a="1"/>
  <c r="F11" i="3" a="1"/>
  <c r="I3" i="3" a="1"/>
  <c r="D11" i="3" a="1"/>
  <c r="F3" i="3" a="1"/>
  <c r="C3" i="3" a="1"/>
  <c r="D8" i="3" a="1"/>
  <c r="I9" i="3" a="1"/>
  <c r="J6" i="3" a="1"/>
  <c r="G5" i="3" a="1"/>
  <c r="F6" i="3" a="1"/>
  <c r="G8" i="3" a="1"/>
  <c r="J5" i="3" a="1"/>
  <c r="D9" i="3" a="1"/>
  <c r="J4" i="3" a="1"/>
  <c r="E4" i="3" a="1"/>
  <c r="D4" i="3" a="1"/>
  <c r="I11" i="3" a="1"/>
  <c r="H3" i="3" a="1"/>
  <c r="H11" i="3" a="1"/>
  <c r="G11" i="3" a="1"/>
  <c r="D23" i="3" a="1"/>
  <c r="H7" i="3" a="1"/>
  <c r="F7" i="3" a="1"/>
  <c r="D7" i="3" a="1"/>
  <c r="J9" i="3" a="1"/>
  <c r="D10" i="3" a="1"/>
  <c r="H10" i="3" a="1"/>
  <c r="D6" i="3" a="1"/>
  <c r="C7" i="3" a="1"/>
  <c r="E9" i="3" a="1"/>
  <c r="C25" i="38" l="1"/>
  <c r="C27" i="38"/>
  <c r="C26" i="38"/>
  <c r="F17" i="38"/>
  <c r="F14" i="38"/>
  <c r="F16" i="38"/>
  <c r="F13" i="38"/>
  <c r="F15" i="38"/>
  <c r="G14" i="38"/>
  <c r="G16" i="38"/>
  <c r="G13" i="38"/>
  <c r="G15" i="38"/>
  <c r="H14" i="38"/>
  <c r="H16" i="38"/>
  <c r="H13" i="38"/>
  <c r="H15" i="38"/>
  <c r="C17" i="38"/>
  <c r="C14" i="38"/>
  <c r="C16" i="38"/>
  <c r="C13" i="38"/>
  <c r="C15" i="38"/>
  <c r="E14" i="38"/>
  <c r="E17" i="38"/>
  <c r="E13" i="38"/>
  <c r="E16" i="38"/>
  <c r="E15" i="38"/>
  <c r="I15" i="38"/>
  <c r="I14" i="38"/>
  <c r="I16" i="38"/>
  <c r="I13" i="38"/>
  <c r="B17" i="38"/>
  <c r="B14" i="38"/>
  <c r="B19" i="38"/>
  <c r="B18" i="38"/>
  <c r="B20" i="38"/>
  <c r="B16" i="38"/>
  <c r="B13" i="38"/>
  <c r="B15" i="38"/>
  <c r="D17" i="38"/>
  <c r="D14" i="38"/>
  <c r="D13" i="38"/>
  <c r="D16" i="38"/>
  <c r="D15" i="38"/>
  <c r="B25" i="38"/>
  <c r="B27" i="38"/>
  <c r="B26" i="38"/>
  <c r="D25" i="38"/>
  <c r="D27" i="38"/>
  <c r="D26" i="38"/>
  <c r="E25" i="38"/>
  <c r="E27" i="38"/>
  <c r="E26" i="38"/>
  <c r="F25" i="38"/>
  <c r="F27" i="38"/>
  <c r="F26" i="38"/>
  <c r="H26" i="38"/>
  <c r="H25" i="38"/>
  <c r="I26" i="38"/>
  <c r="I25" i="38"/>
  <c r="G26" i="38"/>
  <c r="G25" i="38"/>
  <c r="G27" i="38"/>
  <c r="D11" i="3"/>
  <c r="C12" i="38" s="1"/>
  <c r="E11" i="3"/>
  <c r="D12" i="38" s="1"/>
  <c r="F11" i="3"/>
  <c r="E12" i="38" s="1"/>
  <c r="G11" i="3"/>
  <c r="F12" i="38" s="1"/>
  <c r="H11" i="3"/>
  <c r="G12" i="38" s="1"/>
  <c r="I11" i="3"/>
  <c r="H12" i="38" s="1"/>
  <c r="J11" i="3"/>
  <c r="I12" i="38" s="1"/>
  <c r="C11" i="3"/>
  <c r="B12" i="38" s="1"/>
  <c r="I10" i="3"/>
  <c r="H11" i="38" s="1"/>
  <c r="H10" i="3"/>
  <c r="G11" i="38" s="1"/>
  <c r="J10" i="3"/>
  <c r="I11" i="38" s="1"/>
  <c r="D10" i="3"/>
  <c r="C11" i="38" s="1"/>
  <c r="E10" i="3"/>
  <c r="D11" i="38" s="1"/>
  <c r="F10" i="3"/>
  <c r="E11" i="38" s="1"/>
  <c r="G10" i="3"/>
  <c r="F11" i="38" s="1"/>
  <c r="E5" i="3"/>
  <c r="D6" i="38" s="1"/>
  <c r="F5" i="3"/>
  <c r="E6" i="38" s="1"/>
  <c r="H5" i="3"/>
  <c r="G6" i="38" s="1"/>
  <c r="I5" i="3"/>
  <c r="H6" i="38" s="1"/>
  <c r="J5" i="3"/>
  <c r="I6" i="38" s="1"/>
  <c r="D5" i="3"/>
  <c r="C6" i="38" s="1"/>
  <c r="G5" i="3"/>
  <c r="F6" i="38" s="1"/>
  <c r="C5" i="3"/>
  <c r="B6" i="38" s="1"/>
  <c r="D23" i="3"/>
  <c r="C24" i="38" s="1"/>
  <c r="E23" i="3"/>
  <c r="D24" i="38" s="1"/>
  <c r="F23" i="3"/>
  <c r="E24" i="38" s="1"/>
  <c r="G23" i="3"/>
  <c r="F24" i="38" s="1"/>
  <c r="H23" i="3"/>
  <c r="G24" i="38" s="1"/>
  <c r="I23" i="3"/>
  <c r="H24" i="38" s="1"/>
  <c r="J23" i="3"/>
  <c r="I24" i="38" s="1"/>
  <c r="C23" i="3"/>
  <c r="B24" i="38" s="1"/>
  <c r="G7" i="3"/>
  <c r="F8" i="38" s="1"/>
  <c r="J7" i="3"/>
  <c r="I8" i="38" s="1"/>
  <c r="D7" i="3"/>
  <c r="C8" i="38" s="1"/>
  <c r="E7" i="3"/>
  <c r="D8" i="38" s="1"/>
  <c r="F7" i="3"/>
  <c r="E8" i="38" s="1"/>
  <c r="H7" i="3"/>
  <c r="G8" i="38" s="1"/>
  <c r="I7" i="3"/>
  <c r="H8" i="38" s="1"/>
  <c r="C7" i="3"/>
  <c r="B8" i="38" s="1"/>
  <c r="E6" i="3"/>
  <c r="D7" i="38" s="1"/>
  <c r="F6" i="3"/>
  <c r="E7" i="38" s="1"/>
  <c r="H6" i="3"/>
  <c r="G7" i="38" s="1"/>
  <c r="J6" i="3"/>
  <c r="I7" i="38" s="1"/>
  <c r="D6" i="3"/>
  <c r="C7" i="38" s="1"/>
  <c r="I6" i="3"/>
  <c r="H7" i="38" s="1"/>
  <c r="G6" i="3"/>
  <c r="F7" i="38" s="1"/>
  <c r="C6" i="3"/>
  <c r="B7" i="38" s="1"/>
  <c r="D4" i="3"/>
  <c r="C5" i="38" s="1"/>
  <c r="E4" i="3"/>
  <c r="D5" i="38" s="1"/>
  <c r="F4" i="3"/>
  <c r="E5" i="38" s="1"/>
  <c r="G4" i="3"/>
  <c r="F5" i="38" s="1"/>
  <c r="H4" i="3"/>
  <c r="G5" i="38" s="1"/>
  <c r="I4" i="3"/>
  <c r="H5" i="38" s="1"/>
  <c r="J4" i="3"/>
  <c r="I5" i="38" s="1"/>
  <c r="C4" i="3"/>
  <c r="B5" i="38" s="1"/>
  <c r="E3" i="3"/>
  <c r="D4" i="38" s="1"/>
  <c r="F3" i="3"/>
  <c r="E4" i="38" s="1"/>
  <c r="I3" i="3"/>
  <c r="H4" i="38" s="1"/>
  <c r="J3" i="3"/>
  <c r="I4" i="38" s="1"/>
  <c r="D3" i="3"/>
  <c r="C4" i="38" s="1"/>
  <c r="G3" i="3"/>
  <c r="F4" i="38" s="1"/>
  <c r="H3" i="3"/>
  <c r="G4" i="38" s="1"/>
  <c r="C3" i="3"/>
  <c r="B4" i="38" s="1"/>
  <c r="G9" i="3"/>
  <c r="F10" i="38" s="1"/>
  <c r="D9" i="3"/>
  <c r="C10" i="38" s="1"/>
  <c r="F9" i="3"/>
  <c r="E10" i="38" s="1"/>
  <c r="I9" i="3"/>
  <c r="H10" i="38" s="1"/>
  <c r="E9" i="3"/>
  <c r="D10" i="38" s="1"/>
  <c r="H9" i="3"/>
  <c r="G10" i="38" s="1"/>
  <c r="J9" i="3"/>
  <c r="I10" i="38" s="1"/>
  <c r="H8" i="3"/>
  <c r="G9" i="38" s="1"/>
  <c r="D8" i="3"/>
  <c r="C9" i="38" s="1"/>
  <c r="E8" i="3"/>
  <c r="D9" i="38" s="1"/>
  <c r="G8" i="3"/>
  <c r="F9" i="38" s="1"/>
  <c r="I8" i="3"/>
  <c r="H9" i="38" s="1"/>
  <c r="J8" i="3"/>
  <c r="I9" i="38" s="1"/>
  <c r="C10" i="3" a="1"/>
  <c r="F8" i="3" a="1"/>
  <c r="C8" i="3" a="1"/>
  <c r="C9" i="3" a="1"/>
  <c r="C9" i="3" l="1"/>
  <c r="B10" i="38" s="1"/>
  <c r="C10" i="3"/>
  <c r="B11" i="38" s="1"/>
  <c r="F8" i="3"/>
  <c r="E9" i="38" s="1"/>
  <c r="C8" i="3"/>
  <c r="B9" i="3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<sst xmlns="http://schemas.openxmlformats.org/spreadsheetml/2006/main" count="1953" uniqueCount="196">
  <si>
    <t>AVERSA EMILIANO</t>
  </si>
  <si>
    <t>BIONDI ORAZIO</t>
  </si>
  <si>
    <t>Elettricista Manutentore Impianti</t>
  </si>
  <si>
    <t>BONANNO DAVIDE</t>
  </si>
  <si>
    <t>CARPENTIERE</t>
  </si>
  <si>
    <t>BRUNO ANDREA ANTONINO</t>
  </si>
  <si>
    <t>BRUNO DOMENICO</t>
  </si>
  <si>
    <t>BUA SALVATORE</t>
  </si>
  <si>
    <t>CIANCITTO GAETANO</t>
  </si>
  <si>
    <t>CIRNIGLIARO CARMELA</t>
  </si>
  <si>
    <t>Addetto alle Risorse Umane</t>
  </si>
  <si>
    <t>COMPAGNONE GAETANO</t>
  </si>
  <si>
    <t>CONTI VALTER</t>
  </si>
  <si>
    <t>Carpentiere e montatore</t>
  </si>
  <si>
    <t>COSTANZO GIUSEPPE</t>
  </si>
  <si>
    <t>CUSINATO SILVIA</t>
  </si>
  <si>
    <t>Addetto a mansioni d'ordine di segreteria</t>
  </si>
  <si>
    <t>DI MARCO FRANCESCO MARCELLO</t>
  </si>
  <si>
    <t>DI MAURO ANTONINO</t>
  </si>
  <si>
    <t>FELICE SALVATORE</t>
  </si>
  <si>
    <t>Elettricista per Impianti</t>
  </si>
  <si>
    <t>FICARRA ANDREA</t>
  </si>
  <si>
    <t>FINOCCHIARO DAVIDE</t>
  </si>
  <si>
    <t>Addetto alla Contabilità</t>
  </si>
  <si>
    <t>FINOCCHIARO GIOVANNI</t>
  </si>
  <si>
    <t>Elettromeccanico</t>
  </si>
  <si>
    <t>FINOCCHIARO MARIO</t>
  </si>
  <si>
    <t>Aggiustatore Elettromeccanico</t>
  </si>
  <si>
    <t>GALVAGNO CRISTINA</t>
  </si>
  <si>
    <t>Tecnico specialista di applicazione</t>
  </si>
  <si>
    <t>GIONGRANDI UMBERTO</t>
  </si>
  <si>
    <t>addetto a mansioni d'ordine di segreteria</t>
  </si>
  <si>
    <t>GIULIANO ANTONELLO</t>
  </si>
  <si>
    <t>GIULIO SALVATORE</t>
  </si>
  <si>
    <t>aiuto alla gestione del magazzino</t>
  </si>
  <si>
    <t>GIUSTRA ANGELO</t>
  </si>
  <si>
    <t>AGGIUSTATORE ELETTROMECCANICO</t>
  </si>
  <si>
    <t>GUARNERA SALVATORE</t>
  </si>
  <si>
    <t>LINGUAGLOSSA SALVATORE</t>
  </si>
  <si>
    <t>Fattorino</t>
  </si>
  <si>
    <t>LOMBARDO CONCETTA</t>
  </si>
  <si>
    <t>ADDETTO ALLE ATTIVITA AMMINISTRATIVE</t>
  </si>
  <si>
    <t>LIOTTA ALESSANDRO</t>
  </si>
  <si>
    <t>MANTEGNA GIUSEPPE</t>
  </si>
  <si>
    <t>Operatore centro esperto</t>
  </si>
  <si>
    <t>MURABITO ORAZIO</t>
  </si>
  <si>
    <t>assemblatore elettronico</t>
  </si>
  <si>
    <t>MOSCHETTO MARIO</t>
  </si>
  <si>
    <t>ingegnere elettro-tecnico</t>
  </si>
  <si>
    <t>NAVE SALVATORE</t>
  </si>
  <si>
    <t>ELETTROTECNICO</t>
  </si>
  <si>
    <t>MURABITO VITO</t>
  </si>
  <si>
    <t>assemblatore e cablatore di apparrechhiature elettriche</t>
  </si>
  <si>
    <t>PECI ANGELO</t>
  </si>
  <si>
    <t>PECORINO PAOLO</t>
  </si>
  <si>
    <t>PULVIRENTI MARIA CARMELA</t>
  </si>
  <si>
    <t>Impiegato amministrativo</t>
  </si>
  <si>
    <t>RAPISARDA VALENTINO</t>
  </si>
  <si>
    <t>Carpentiere</t>
  </si>
  <si>
    <t>ROCCAZZELLO SEBASTIANO</t>
  </si>
  <si>
    <t>Disegnatore tecnico</t>
  </si>
  <si>
    <t>RUSSO BASILIO</t>
  </si>
  <si>
    <t>SALAMONE ANDRZEJ</t>
  </si>
  <si>
    <t>SCHEMBRI MASSIMLIANO</t>
  </si>
  <si>
    <t>SCHEMBRI SALVATORE</t>
  </si>
  <si>
    <t>manovale all'assemblaggio elettrico</t>
  </si>
  <si>
    <t>SCORDO CARMELO</t>
  </si>
  <si>
    <t>SPAMPINATO DAVIDE</t>
  </si>
  <si>
    <t>Tecnico di impianti elettrici corrente forte</t>
  </si>
  <si>
    <t>TORRISI SALVATORE</t>
  </si>
  <si>
    <t>TRIPODI MAURIZIO</t>
  </si>
  <si>
    <t>VILLARI NOEMI</t>
  </si>
  <si>
    <t>LU548039</t>
  </si>
  <si>
    <t>IVECO 75E14</t>
  </si>
  <si>
    <t>BJ576TN</t>
  </si>
  <si>
    <t>SCANIA</t>
  </si>
  <si>
    <t>CV618ME</t>
  </si>
  <si>
    <t>PANDA BLU</t>
  </si>
  <si>
    <t>CY589GW</t>
  </si>
  <si>
    <t>NISSAN CABSTAR</t>
  </si>
  <si>
    <t>DB958LE</t>
  </si>
  <si>
    <t>IVECO 120 E15</t>
  </si>
  <si>
    <t>DH099VV</t>
  </si>
  <si>
    <t>HYUNDAI SANTA FE</t>
  </si>
  <si>
    <t>DV107TN</t>
  </si>
  <si>
    <t>EC943VH</t>
  </si>
  <si>
    <t>DUCATO 9 POSTI</t>
  </si>
  <si>
    <t>EF559NH</t>
  </si>
  <si>
    <t>IVECO 35/E4</t>
  </si>
  <si>
    <t>EG027YC</t>
  </si>
  <si>
    <t>TRANSIT</t>
  </si>
  <si>
    <t>EH570EG</t>
  </si>
  <si>
    <t>FORD FIESTA</t>
  </si>
  <si>
    <t>EN538GW</t>
  </si>
  <si>
    <t>NEW TRANSIT</t>
  </si>
  <si>
    <t>EV747HA</t>
  </si>
  <si>
    <t>NISSAN PRIMASTAR</t>
  </si>
  <si>
    <t>EV749HA</t>
  </si>
  <si>
    <t xml:space="preserve">NISSAN COMBI </t>
  </si>
  <si>
    <t>EV748HA</t>
  </si>
  <si>
    <t>EW378WF</t>
  </si>
  <si>
    <t>NISSAN COMBI</t>
  </si>
  <si>
    <t>FN047TL</t>
  </si>
  <si>
    <t>FIAT PANDA ARANCIO</t>
  </si>
  <si>
    <t>FP515DX</t>
  </si>
  <si>
    <t>FP742DN</t>
  </si>
  <si>
    <t>HONDA CRV</t>
  </si>
  <si>
    <t>FP986DT</t>
  </si>
  <si>
    <t>FZ287JN</t>
  </si>
  <si>
    <t>FORD COURIER</t>
  </si>
  <si>
    <t>FZ288JN</t>
  </si>
  <si>
    <t>FORD TRANSIT CUSTOM</t>
  </si>
  <si>
    <t>FZ289JN</t>
  </si>
  <si>
    <t>GL120MW</t>
  </si>
  <si>
    <t>FZ291JN</t>
  </si>
  <si>
    <t>FZ292JN</t>
  </si>
  <si>
    <t>GL989MZ</t>
  </si>
  <si>
    <t>IVECO DAILY</t>
  </si>
  <si>
    <t>GR106NB</t>
  </si>
  <si>
    <t>GR965ND</t>
  </si>
  <si>
    <t>GRU FERRARI</t>
  </si>
  <si>
    <t>GZ141CC</t>
  </si>
  <si>
    <t xml:space="preserve">MERCEDES GLE </t>
  </si>
  <si>
    <t xml:space="preserve">Targa </t>
  </si>
  <si>
    <t>Mezzo</t>
  </si>
  <si>
    <t>Capocantiere</t>
  </si>
  <si>
    <t>Nome Cantiere</t>
  </si>
  <si>
    <t>ID Cantiere</t>
  </si>
  <si>
    <t>Data inizio</t>
  </si>
  <si>
    <t>ID Cantiere 1</t>
  </si>
  <si>
    <t>Colonna1</t>
  </si>
  <si>
    <t>Colonna2</t>
  </si>
  <si>
    <t>Colonna3</t>
  </si>
  <si>
    <t>Settimana</t>
  </si>
  <si>
    <t>Dipendente</t>
  </si>
  <si>
    <t>Ruolo</t>
  </si>
  <si>
    <t>Committente</t>
  </si>
  <si>
    <t>Priolo</t>
  </si>
  <si>
    <t>chiarmonte</t>
  </si>
  <si>
    <t>Noto</t>
  </si>
  <si>
    <t xml:space="preserve">noto </t>
  </si>
  <si>
    <t>Scandale</t>
  </si>
  <si>
    <t>VILLAFRANCA</t>
  </si>
  <si>
    <t>CEE1484-0A</t>
  </si>
  <si>
    <t>CEE1484_0C</t>
  </si>
  <si>
    <t>CEE1538</t>
  </si>
  <si>
    <t>CEE1565</t>
  </si>
  <si>
    <t>CEE1555</t>
  </si>
  <si>
    <t>Terna</t>
  </si>
  <si>
    <t>SIEMENS ENERGy.</t>
  </si>
  <si>
    <t>damico industria</t>
  </si>
  <si>
    <t>GRID</t>
  </si>
  <si>
    <t>TESMEC</t>
  </si>
  <si>
    <t xml:space="preserve">Finocchiaro </t>
  </si>
  <si>
    <t xml:space="preserve">Russo </t>
  </si>
  <si>
    <t>Felice</t>
  </si>
  <si>
    <t>Giuliano</t>
  </si>
  <si>
    <t xml:space="preserve">Biondi </t>
  </si>
  <si>
    <t>Data Fine</t>
  </si>
  <si>
    <t xml:space="preserve">SSE Parco  Mineo </t>
  </si>
  <si>
    <t>se mazara</t>
  </si>
  <si>
    <t xml:space="preserve">SIEMENS </t>
  </si>
  <si>
    <t>CEM</t>
  </si>
  <si>
    <t>Pecorino</t>
  </si>
  <si>
    <t>Stato avanzamento</t>
  </si>
  <si>
    <t>CEM1</t>
  </si>
  <si>
    <t>Dipendenti</t>
  </si>
  <si>
    <t xml:space="preserve">Tokyo  </t>
  </si>
  <si>
    <t xml:space="preserve">Roma  </t>
  </si>
  <si>
    <t xml:space="preserve">New York  </t>
  </si>
  <si>
    <t xml:space="preserve">Parigi  </t>
  </si>
  <si>
    <t xml:space="preserve">Sydney  </t>
  </si>
  <si>
    <t xml:space="preserve">Città del Messico  </t>
  </si>
  <si>
    <t xml:space="preserve">Dubai  </t>
  </si>
  <si>
    <t xml:space="preserve">Istanbul  </t>
  </si>
  <si>
    <t>SIEMENS ENERGY</t>
  </si>
  <si>
    <t>AAA</t>
  </si>
  <si>
    <t>BBB</t>
  </si>
  <si>
    <t>CCC</t>
  </si>
  <si>
    <t>DDD</t>
  </si>
  <si>
    <t>EEE</t>
  </si>
  <si>
    <t>FFF</t>
  </si>
  <si>
    <t>GGG</t>
  </si>
  <si>
    <t>HHH</t>
  </si>
  <si>
    <t>Note</t>
  </si>
  <si>
    <t>Mezzi</t>
  </si>
  <si>
    <t>Giorno Settimana</t>
  </si>
  <si>
    <t>Descrizione Attività</t>
  </si>
  <si>
    <t>Montaggio interruttore</t>
  </si>
  <si>
    <t>Montaggio sezionatore</t>
  </si>
  <si>
    <t>Montaggio scaricatore</t>
  </si>
  <si>
    <t>Montaggio ta</t>
  </si>
  <si>
    <t>Montaggio tv</t>
  </si>
  <si>
    <t>Cablaggio Cavi</t>
  </si>
  <si>
    <t>Montaggio Carpenteria</t>
  </si>
  <si>
    <t>Montaggio trasformatore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</si>
</sst>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indexed="8"/>
      <name val="Calibri"/>
      <family val="2"/>
      <charset val="1"/>
    </font>
    <font>
      <b/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43">
    <xf numFmtId="0" fontId="0" fillId="0" borderId="0" xfId="0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0" fillId="0" borderId="0" xfId="0" applyAlignment="1"/>
    <xf numFmtId="14" fontId="0" fillId="0" borderId="0" xfId="0" applyNumberFormat="1" applyAlignment="1"/>
    <xf numFmtId="0" fontId="3" fillId="3" borderId="5" xfId="0" applyFont="1" applyFill="1" applyBorder="1"/>
    <xf numFmtId="0" fontId="3" fillId="3" borderId="1" xfId="0" applyFont="1" applyFill="1" applyBorder="1"/>
    <xf numFmtId="2" fontId="3" fillId="3" borderId="1" xfId="0" applyNumberFormat="1" applyFont="1" applyFill="1" applyBorder="1"/>
    <xf numFmtId="0" fontId="0" fillId="2" borderId="5" xfId="0" applyFont="1" applyFill="1" applyBorder="1"/>
    <xf numFmtId="0" fontId="0" fillId="2" borderId="1" xfId="0" applyFont="1" applyFill="1" applyBorder="1"/>
    <xf numFmtId="14" fontId="0" fillId="2" borderId="1" xfId="0" applyNumberFormat="1" applyFont="1" applyFill="1" applyBorder="1"/>
    <xf numFmtId="0" fontId="0" fillId="0" borderId="5" xfId="0" applyFont="1" applyBorder="1"/>
    <xf numFmtId="0" fontId="0" fillId="0" borderId="1" xfId="0" applyFont="1" applyBorder="1"/>
    <xf numFmtId="14" fontId="0" fillId="0" borderId="1" xfId="0" applyNumberFormat="1" applyFont="1" applyBorder="1"/>
    <xf numFmtId="2" fontId="0" fillId="0" borderId="1" xfId="0" applyNumberFormat="1" applyFont="1" applyBorder="1"/>
    <xf numFmtId="9" fontId="0" fillId="0" borderId="1" xfId="1" applyNumberFormat="1" applyFont="1" applyBorder="1"/>
    <xf numFmtId="0" fontId="0" fillId="0" borderId="1" xfId="0" applyFont="1" applyFill="1" applyBorder="1"/>
    <xf numFmtId="14" fontId="0" fillId="0" borderId="1" xfId="0" applyNumberFormat="1" applyFont="1" applyFill="1" applyBorder="1"/>
    <xf numFmtId="2" fontId="0" fillId="0" borderId="1" xfId="0" applyNumberFormat="1" applyFont="1" applyFill="1" applyBorder="1"/>
    <xf numFmtId="0" fontId="0" fillId="0" borderId="2" xfId="0" applyFont="1" applyFill="1" applyBorder="1"/>
    <xf numFmtId="0" fontId="0" fillId="0" borderId="3" xfId="0" applyFont="1" applyFill="1" applyBorder="1"/>
    <xf numFmtId="14" fontId="0" fillId="0" borderId="3" xfId="0" applyNumberFormat="1" applyFont="1" applyFill="1" applyBorder="1"/>
    <xf numFmtId="2" fontId="0" fillId="0" borderId="3" xfId="0" applyNumberFormat="1" applyFont="1" applyFill="1" applyBorder="1"/>
    <xf numFmtId="0" fontId="0" fillId="0" borderId="0" xfId="0" applyFill="1"/>
    <xf numFmtId="2" fontId="0" fillId="0" borderId="0" xfId="0" applyNumberFormat="1" applyFill="1"/>
    <xf numFmtId="0" fontId="3" fillId="3" borderId="0" xfId="0" applyFont="1" applyFill="1" applyBorder="1"/>
    <xf numFmtId="0" fontId="3" fillId="3" borderId="0" xfId="0" applyFont="1" applyFill="1" applyBorder="1" applyAlignment="1">
      <alignment vertical="center"/>
    </xf>
    <xf numFmtId="0" fontId="0" fillId="4" borderId="0" xfId="0" applyFill="1" applyAlignment="1"/>
    <xf numFmtId="14" fontId="0" fillId="4" borderId="0" xfId="0" applyNumberFormat="1" applyFill="1" applyAlignment="1"/>
    <xf numFmtId="0" fontId="5" fillId="5" borderId="0" xfId="0" applyFont="1" applyFill="1"/>
    <xf numFmtId="0" fontId="6" fillId="6" borderId="0" xfId="0" applyFont="1" applyFill="1"/>
    <xf numFmtId="0" fontId="6" fillId="7" borderId="0" xfId="0" applyFont="1" applyFill="1"/>
    <xf numFmtId="10" fontId="0" fillId="2" borderId="1" xfId="0" applyNumberFormat="1" applyFont="1" applyFill="1" applyBorder="1"/>
    <xf numFmtId="9" fontId="0" fillId="0" borderId="0" xfId="1" applyNumberFormat="1" applyFont="1" applyBorder="1"/>
    <xf numFmtId="0" fontId="0" fillId="0" borderId="0" xfId="0" applyFont="1" applyFill="1" applyBorder="1"/>
    <xf numFmtId="0" fontId="3" fillId="3" borderId="1" xfId="0" applyFont="1" applyFill="1" applyBorder="1" applyAlignment="1">
      <alignment vertical="center"/>
    </xf>
    <xf numFmtId="0" fontId="3" fillId="3" borderId="6" xfId="0" applyFont="1" applyFill="1" applyBorder="1" applyAlignment="1">
      <alignment vertical="center"/>
    </xf>
    <xf numFmtId="9" fontId="0" fillId="4" borderId="0" xfId="1" applyFont="1" applyFill="1" applyAlignment="1"/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</cellXfs>
  <cellStyles count="3">
    <cellStyle name="Excel Built-in Normal" xfId="2" xr:uid="{3AB41EA9-E688-4E8A-B6C6-483B950F99B6}"/>
    <cellStyle name="Normale" xfId="0" builtinId="0"/>
    <cellStyle name="Percentual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1</xdr:row>
      <xdr:rowOff>0</xdr:rowOff>
    </xdr:from>
    <xdr:to>
      <xdr:col>19</xdr:col>
      <xdr:colOff>304800</xdr:colOff>
      <xdr:row>5</xdr:row>
      <xdr:rowOff>152400</xdr:rowOff>
    </xdr:to>
    <xdr:pic macro="[0]!CopiaFogliConNomeFoglio">
      <xdr:nvPicPr>
        <xdr:cNvPr id="3" name="Elemento grafico 2" descr="Cervello in testa con riempimento a tinta unita">
          <a:extLst>
            <a:ext uri="{FF2B5EF4-FFF2-40B4-BE49-F238E27FC236}">
              <a16:creationId xmlns:a16="http://schemas.microsoft.com/office/drawing/2014/main" id="{92465865-30A9-3090-918F-2053CDE5D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449925" y="1905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35D4-43F3-45A3-A4B8-2BA7320BE929}">
  <sheetPr codeName="Foglio3"/>
  <dimension ref="B1:J26"/>
  <sheetViews>
    <sheetView showGridLines="0" workbookViewId="0">
      <selection activeCell="C33" sqref="C33"/>
    </sheetView>
  </sheetViews>
  <sheetFormatPr defaultRowHeight="15" x14ac:dyDescent="0.25"/>
  <cols>
    <col min="1" max="1" width="9.42578125" style="4" bestFit="1" customWidth="1"/>
    <col min="2" max="2" width="18.28515625" style="4" bestFit="1" customWidth="1"/>
    <col min="3" max="3" width="30.85546875" style="4" bestFit="1" customWidth="1"/>
    <col min="4" max="4" width="23.28515625" style="4" bestFit="1" customWidth="1"/>
    <col min="5" max="5" width="20.85546875" style="4" bestFit="1" customWidth="1"/>
    <col min="6" max="6" width="19.7109375" style="4" bestFit="1" customWidth="1"/>
    <col min="7" max="7" width="25.85546875" style="4" bestFit="1" customWidth="1"/>
    <col min="8" max="8" width="23.140625" style="4" bestFit="1" customWidth="1"/>
    <col min="9" max="9" width="26.140625" style="4" bestFit="1" customWidth="1"/>
    <col min="10" max="10" width="21.5703125" style="4" bestFit="1" customWidth="1"/>
    <col min="11" max="16384" width="9.140625" style="4"/>
  </cols>
  <sheetData>
    <row r="1" spans="2:10" x14ac:dyDescent="0.25">
      <c r="B1" s="1" t="s">
        <v>133</v>
      </c>
      <c r="C1" s="39">
        <v>20</v>
      </c>
      <c r="D1" s="40"/>
      <c r="E1" s="40"/>
      <c r="F1" s="40"/>
      <c r="G1" s="40"/>
      <c r="H1" s="40"/>
      <c r="I1" s="40"/>
      <c r="J1" s="40"/>
    </row>
    <row r="2" spans="2:10" x14ac:dyDescent="0.25">
      <c r="B2" s="1" t="s">
        <v>127</v>
      </c>
      <c r="C2" s="28" t="str" cm="1">
        <f t="array" aca="1" ref="C2" ca="1">INDIRECT("'" &amp; $C$1 &amp; "'!A2")</f>
        <v>CEE1484-0A</v>
      </c>
      <c r="D2" s="28" t="str" cm="1">
        <f t="array" aca="1" ref="D2" ca="1">INDIRECT("'" &amp; $C$1 &amp; "'!A3")</f>
        <v>CEE1484_0C</v>
      </c>
      <c r="E2" s="28" t="str" cm="1">
        <f t="array" aca="1" ref="E2" ca="1">INDIRECT("'" &amp; $C$1 &amp; "'!A4")</f>
        <v>CEE1538</v>
      </c>
      <c r="F2" s="28" t="str" cm="1">
        <f t="array" aca="1" ref="F2" ca="1">INDIRECT("'" &amp; $C$1 &amp; "'!A5")</f>
        <v>CEE1565</v>
      </c>
      <c r="G2" s="28" t="str" cm="1">
        <f t="array" aca="1" ref="G2" ca="1">INDIRECT("'" &amp; $C$1 &amp; "'!A6")</f>
        <v>ID Cantiere 1</v>
      </c>
      <c r="H2" s="28" t="str" cm="1">
        <f t="array" aca="1" ref="H2" ca="1">INDIRECT("'" &amp; $C$1 &amp; "'!A7")</f>
        <v>CEE1555</v>
      </c>
      <c r="I2" s="28" t="str" cm="1">
        <f t="array" aca="1" ref="I2" ca="1">INDIRECT("'" &amp; $C$1 &amp; "'!A8")</f>
        <v>CEM</v>
      </c>
      <c r="J2" s="28" t="str" cm="1">
        <f t="array" aca="1" ref="J2" ca="1">INDIRECT("'" &amp; $C$1 &amp; "'!A9")</f>
        <v>CEM1</v>
      </c>
    </row>
    <row r="3" spans="2:10" x14ac:dyDescent="0.25">
      <c r="B3" s="2" t="s">
        <v>126</v>
      </c>
      <c r="C3" s="4" t="str" cm="1">
        <f t="array" aca="1" ref="C3" ca="1">_xlfn.XLOOKUP(C2,INDIRECT("'" &amp; $C$1 &amp; "'!A:A"),INDIRECT("'" &amp; $C$1 &amp; "'!B:B"))</f>
        <v>Priolo</v>
      </c>
      <c r="D3" s="4" t="str" cm="1">
        <f t="array" aca="1" ref="D3" ca="1">_xlfn.XLOOKUP(D2,INDIRECT("'" &amp; $C$1 &amp; "'!A:A"),INDIRECT("'" &amp; $C$1 &amp; "'!B:B"))</f>
        <v>chiarmonte</v>
      </c>
      <c r="E3" s="4" t="str" cm="1">
        <f t="array" aca="1" ref="E3" ca="1">_xlfn.XLOOKUP(E2,INDIRECT("'" &amp; $C$1 &amp; "'!A:A"),INDIRECT("'" &amp; $C$1 &amp; "'!B:B"))</f>
        <v>Noto</v>
      </c>
      <c r="F3" s="4" t="str" cm="1">
        <f t="array" aca="1" ref="F3" ca="1">_xlfn.XLOOKUP(F2,INDIRECT("'" &amp; $C$1 &amp; "'!A:A"),INDIRECT("'" &amp; $C$1 &amp; "'!B:B"))</f>
        <v xml:space="preserve">noto </v>
      </c>
      <c r="G3" s="4" t="str" cm="1">
        <f t="array" aca="1" ref="G3" ca="1">_xlfn.XLOOKUP(G2,INDIRECT("'" &amp; $C$1 &amp; "'!A:A"),INDIRECT("'" &amp; $C$1 &amp; "'!B:B"))</f>
        <v>Scandale</v>
      </c>
      <c r="H3" s="4" t="str" cm="1">
        <f t="array" aca="1" ref="H3" ca="1">_xlfn.XLOOKUP(H2,INDIRECT("'" &amp; $C$1 &amp; "'!A:A"),INDIRECT("'" &amp; $C$1 &amp; "'!B:B"))</f>
        <v>VILLAFRANCA</v>
      </c>
      <c r="I3" s="4" t="str" cm="1">
        <f t="array" aca="1" ref="I3" ca="1">_xlfn.XLOOKUP(I2,INDIRECT("'" &amp; $C$1 &amp; "'!A:A"),INDIRECT("'" &amp; $C$1 &amp; "'!B:B"))</f>
        <v xml:space="preserve">SSE Parco  Mineo </v>
      </c>
      <c r="J3" s="4" t="str" cm="1">
        <f t="array" aca="1" ref="J3" ca="1">_xlfn.XLOOKUP(J2,INDIRECT("'" &amp; $C$1 &amp; "'!A:A"),INDIRECT("'" &amp; $C$1 &amp; "'!B:B"))</f>
        <v>se mazara</v>
      </c>
    </row>
    <row r="4" spans="2:10" x14ac:dyDescent="0.25">
      <c r="B4" s="2" t="s">
        <v>136</v>
      </c>
      <c r="C4" s="28" t="str" cm="1">
        <f t="array" aca="1" ref="C4" ca="1">_xlfn.XLOOKUP(C2,INDIRECT("'" &amp; $C$1 &amp; "'!A:A"),INDIRECT("'" &amp; $C$1 &amp; "'!C:C"))</f>
        <v>Terna</v>
      </c>
      <c r="D4" s="28" t="str" cm="1">
        <f t="array" aca="1" ref="D4" ca="1">_xlfn.XLOOKUP(D2,INDIRECT("'" &amp; $C$1 &amp; "'!A:A"),INDIRECT("'" &amp; $C$1 &amp; "'!C:C"))</f>
        <v>Terna</v>
      </c>
      <c r="E4" s="28" t="str" cm="1">
        <f t="array" aca="1" ref="E4" ca="1">_xlfn.XLOOKUP(E2,INDIRECT("'" &amp; $C$1 &amp; "'!A:A"),INDIRECT("'" &amp; $C$1 &amp; "'!C:C"))</f>
        <v>SIEMENS ENERGY</v>
      </c>
      <c r="F4" s="28" t="str" cm="1">
        <f t="array" aca="1" ref="F4" ca="1">_xlfn.XLOOKUP(F2,INDIRECT("'" &amp; $C$1 &amp; "'!A:A"),INDIRECT("'" &amp; $C$1 &amp; "'!C:C"))</f>
        <v>damico industria</v>
      </c>
      <c r="G4" s="28" t="str" cm="1">
        <f t="array" aca="1" ref="G4" ca="1">_xlfn.XLOOKUP(G2,INDIRECT("'" &amp; $C$1 &amp; "'!A:A"),INDIRECT("'" &amp; $C$1 &amp; "'!C:C"))</f>
        <v>GRID</v>
      </c>
      <c r="H4" s="28" t="str" cm="1">
        <f t="array" aca="1" ref="H4" ca="1">_xlfn.XLOOKUP(H2,INDIRECT("'" &amp; $C$1 &amp; "'!A:A"),INDIRECT("'" &amp; $C$1 &amp; "'!C:C"))</f>
        <v>TESMEC</v>
      </c>
      <c r="I4" s="28" t="str" cm="1">
        <f t="array" aca="1" ref="I4" ca="1">_xlfn.XLOOKUP(I2,INDIRECT("'" &amp; $C$1 &amp; "'!A:A"),INDIRECT("'" &amp; $C$1 &amp; "'!C:C"))</f>
        <v xml:space="preserve">SIEMENS </v>
      </c>
      <c r="J4" s="28" t="str" cm="1">
        <f t="array" aca="1" ref="J4" ca="1">_xlfn.XLOOKUP(J2,INDIRECT("'" &amp; $C$1 &amp; "'!A:A"),INDIRECT("'" &amp; $C$1 &amp; "'!C:C"))</f>
        <v xml:space="preserve">SIEMENS </v>
      </c>
    </row>
    <row r="5" spans="2:10" x14ac:dyDescent="0.25">
      <c r="B5" s="2" t="s">
        <v>187</v>
      </c>
      <c r="C5" s="4" t="str" cm="1">
        <f t="array" aca="1" ref="C5" ca="1">_xlfn._xlws.FILTER(INDIRECT("'" &amp; $C$1 &amp; "'!k:k"),(INDIRECT("'" &amp; $C$1 &amp; "'!A:A")=C2)*(INDIRECT("'" &amp; $C$1 &amp; "'!k:k")&lt;&gt;0))</f>
        <v>Montaggio interruttore</v>
      </c>
      <c r="D5" s="4" t="str" cm="1">
        <f t="array" aca="1" ref="D5" ca="1">_xlfn._xlws.FILTER(INDIRECT("'" &amp; $C$1 &amp; "'!k:k"),(INDIRECT("'" &amp; $C$1 &amp; "'!A:A")=D2)*(INDIRECT("'" &amp; $C$1 &amp; "'!k:k")&lt;&gt;0))</f>
        <v>Montaggio sezionatore</v>
      </c>
      <c r="E5" s="4" t="str" cm="1">
        <f t="array" aca="1" ref="E5" ca="1">_xlfn._xlws.FILTER(INDIRECT("'" &amp; $C$1 &amp; "'!k:k"),(INDIRECT("'" &amp; $C$1 &amp; "'!A:A")=E2)*(INDIRECT("'" &amp; $C$1 &amp; "'!k:k")&lt;&gt;0))</f>
        <v>Montaggio scaricatore</v>
      </c>
      <c r="F5" s="4" t="str" cm="1">
        <f t="array" aca="1" ref="F5" ca="1">_xlfn._xlws.FILTER(INDIRECT("'" &amp; $C$1 &amp; "'!k:k"),(INDIRECT("'" &amp; $C$1 &amp; "'!A:A")=F2)*(INDIRECT("'" &amp; $C$1 &amp; "'!k:k")&lt;&gt;0))</f>
        <v>Montaggio ta</v>
      </c>
      <c r="G5" s="4" t="str" cm="1">
        <f t="array" aca="1" ref="G5" ca="1">_xlfn._xlws.FILTER(INDIRECT("'" &amp; $C$1 &amp; "'!k:k"),(INDIRECT("'" &amp; $C$1 &amp; "'!A:A")=G2)*(INDIRECT("'" &amp; $C$1 &amp; "'!k:k")&lt;&gt;0))</f>
        <v>Montaggio tv</v>
      </c>
      <c r="H5" s="4" t="str" cm="1">
        <f t="array" aca="1" ref="H5" ca="1">_xlfn._xlws.FILTER(INDIRECT("'" &amp; $C$1 &amp; "'!k:k"),(INDIRECT("'" &amp; $C$1 &amp; "'!A:A")=H2)*(INDIRECT("'" &amp; $C$1 &amp; "'!k:k")&lt;&gt;0))</f>
        <v>Cablaggio Cavi</v>
      </c>
      <c r="I5" s="4" t="str" cm="1">
        <f t="array" aca="1" ref="I5" ca="1">_xlfn._xlws.FILTER(INDIRECT("'" &amp; $C$1 &amp; "'!k:k"),(INDIRECT("'" &amp; $C$1 &amp; "'!A:A")=I2)*(INDIRECT("'" &amp; $C$1 &amp; "'!k:k")&lt;&gt;0))</f>
        <v>Montaggio Carpenteria</v>
      </c>
      <c r="J5" s="4" t="str" cm="1">
        <f t="array" aca="1" ref="J5" ca="1">_xlfn._xlws.FILTER(INDIRECT("'" &amp; $C$1 &amp; "'!k:k"),(INDIRECT("'" &amp; $C$1 &amp; "'!A:A")=J2)*(INDIRECT("'" &amp; $C$1 &amp; "'!k:k")&lt;&gt;0))</f>
        <v>Montaggio trasformatore</v>
      </c>
    </row>
    <row r="6" spans="2:10" x14ac:dyDescent="0.25">
      <c r="B6" s="2" t="s">
        <v>128</v>
      </c>
      <c r="C6" s="29" cm="1">
        <f t="array" aca="1" ref="C6" ca="1">_xlfn.XLOOKUP(C2,INDIRECT("'" &amp; $C$1 &amp; "'!A:A"),INDIRECT("'" &amp; $C$1 &amp; "'!E:E"))</f>
        <v>45658</v>
      </c>
      <c r="D6" s="29" cm="1">
        <f t="array" aca="1" ref="D6" ca="1">_xlfn.XLOOKUP(D2,INDIRECT("'" &amp; $C$1 &amp; "'!A:A"),INDIRECT("'" &amp; $C$1 &amp; "'!E:E"))</f>
        <v>45659</v>
      </c>
      <c r="E6" s="29" cm="1">
        <f t="array" aca="1" ref="E6" ca="1">_xlfn.XLOOKUP(E2,INDIRECT("'" &amp; $C$1 &amp; "'!A:A"),INDIRECT("'" &amp; $C$1 &amp; "'!E:E"))</f>
        <v>45660</v>
      </c>
      <c r="F6" s="29" cm="1">
        <f t="array" aca="1" ref="F6" ca="1">_xlfn.XLOOKUP(F2,INDIRECT("'" &amp; $C$1 &amp; "'!A:A"),INDIRECT("'" &amp; $C$1 &amp; "'!E:E"))</f>
        <v>45661</v>
      </c>
      <c r="G6" s="29" cm="1">
        <f t="array" aca="1" ref="G6" ca="1">_xlfn.XLOOKUP(G2,INDIRECT("'" &amp; $C$1 &amp; "'!A:A"),INDIRECT("'" &amp; $C$1 &amp; "'!E:E"))</f>
        <v>45662</v>
      </c>
      <c r="H6" s="29" cm="1">
        <f t="array" aca="1" ref="H6" ca="1">_xlfn.XLOOKUP(H2,INDIRECT("'" &amp; $C$1 &amp; "'!A:A"),INDIRECT("'" &amp; $C$1 &amp; "'!E:E"))</f>
        <v>45663</v>
      </c>
      <c r="I6" s="29" cm="1">
        <f t="array" aca="1" ref="I6" ca="1">_xlfn.XLOOKUP(I2,INDIRECT("'" &amp; $C$1 &amp; "'!A:A"),INDIRECT("'" &amp; $C$1 &amp; "'!E:E"))</f>
        <v>45664</v>
      </c>
      <c r="J6" s="29" cm="1">
        <f t="array" aca="1" ref="J6" ca="1">_xlfn.XLOOKUP(J2,INDIRECT("'" &amp; $C$1 &amp; "'!A:A"),INDIRECT("'" &amp; $C$1 &amp; "'!E:E"))</f>
        <v>45665</v>
      </c>
    </row>
    <row r="7" spans="2:10" x14ac:dyDescent="0.25">
      <c r="B7" s="2" t="s">
        <v>158</v>
      </c>
      <c r="C7" s="5" cm="1">
        <f t="array" aca="1" ref="C7" ca="1">_xlfn.XLOOKUP(C2,INDIRECT("'" &amp; $C$1 &amp; "'!A:A"),INDIRECT("'" &amp; $C$1 &amp; "'!F:F"))</f>
        <v>45869</v>
      </c>
      <c r="D7" s="5" cm="1">
        <f t="array" aca="1" ref="D7" ca="1">_xlfn.XLOOKUP(D2,INDIRECT("'" &amp; $C$1 &amp; "'!A:A"),INDIRECT("'" &amp; $C$1 &amp; "'!F:F"))</f>
        <v>45870</v>
      </c>
      <c r="E7" s="5" cm="1">
        <f t="array" aca="1" ref="E7" ca="1">_xlfn.XLOOKUP(E2,INDIRECT("'" &amp; $C$1 &amp; "'!A:A"),INDIRECT("'" &amp; $C$1 &amp; "'!F:F"))</f>
        <v>45871</v>
      </c>
      <c r="F7" s="5" cm="1">
        <f t="array" aca="1" ref="F7" ca="1">_xlfn.XLOOKUP(F2,INDIRECT("'" &amp; $C$1 &amp; "'!A:A"),INDIRECT("'" &amp; $C$1 &amp; "'!F:F"))</f>
        <v>45872</v>
      </c>
      <c r="G7" s="5" cm="1">
        <f t="array" aca="1" ref="G7" ca="1">_xlfn.XLOOKUP(G2,INDIRECT("'" &amp; $C$1 &amp; "'!A:A"),INDIRECT("'" &amp; $C$1 &amp; "'!F:F"))</f>
        <v>45873</v>
      </c>
      <c r="H7" s="5" cm="1">
        <f t="array" aca="1" ref="H7" ca="1">_xlfn.XLOOKUP(H2,INDIRECT("'" &amp; $C$1 &amp; "'!A:A"),INDIRECT("'" &amp; $C$1 &amp; "'!F:F"))</f>
        <v>45874</v>
      </c>
      <c r="I7" s="5" cm="1">
        <f t="array" aca="1" ref="I7" ca="1">_xlfn.XLOOKUP(I2,INDIRECT("'" &amp; $C$1 &amp; "'!A:A"),INDIRECT("'" &amp; $C$1 &amp; "'!F:F"))</f>
        <v>45875</v>
      </c>
      <c r="J7" s="5" cm="1">
        <f t="array" aca="1" ref="J7" ca="1">_xlfn.XLOOKUP(J2,INDIRECT("'" &amp; $C$1 &amp; "'!A:A"),INDIRECT("'" &amp; $C$1 &amp; "'!F:F"))</f>
        <v>45876</v>
      </c>
    </row>
    <row r="8" spans="2:10" x14ac:dyDescent="0.25">
      <c r="B8" s="3" t="s">
        <v>164</v>
      </c>
      <c r="C8" s="38" cm="1">
        <f t="array" aca="1" ref="C8" ca="1">_xlfn.XLOOKUP(C$2,INDIRECT("'" &amp; $C$1 &amp; "'!A:A"),INDIRECT("'" &amp; $C$1 &amp; "'!J:J"))</f>
        <v>0.75355450236966826</v>
      </c>
      <c r="D8" s="38" cm="1">
        <f t="array" aca="1" ref="D8" ca="1">_xlfn.XLOOKUP(D$2,INDIRECT("'" &amp; $C$1 &amp; "'!A:A"),INDIRECT("'" &amp; $C$1 &amp; "'!J:J"))</f>
        <v>0.74881516587677721</v>
      </c>
      <c r="E8" s="38" cm="1">
        <f t="array" aca="1" ref="E8" ca="1">_xlfn.XLOOKUP(E$2,INDIRECT("'" &amp; $C$1 &amp; "'!A:A"),INDIRECT("'" &amp; $C$1 &amp; "'!J:J"))</f>
        <v>0.74407582938388628</v>
      </c>
      <c r="F8" s="38" cm="1">
        <f t="array" aca="1" ref="F8" ca="1">_xlfn.XLOOKUP(F$2,INDIRECT("'" &amp; $C$1 &amp; "'!A:A"),INDIRECT("'" &amp; $C$1 &amp; "'!J:J"))</f>
        <v>0.73933649289099523</v>
      </c>
      <c r="G8" s="38" cm="1">
        <f t="array" aca="1" ref="G8" ca="1">_xlfn.XLOOKUP(G$2,INDIRECT("'" &amp; $C$1 &amp; "'!A:A"),INDIRECT("'" &amp; $C$1 &amp; "'!J:J"))</f>
        <v>0.7345971563981043</v>
      </c>
      <c r="H8" s="38" cm="1">
        <f t="array" aca="1" ref="H8" ca="1">_xlfn.XLOOKUP(H$2,INDIRECT("'" &amp; $C$1 &amp; "'!A:A"),INDIRECT("'" &amp; $C$1 &amp; "'!J:J"))</f>
        <v>0.72985781990521326</v>
      </c>
      <c r="I8" s="38" cm="1">
        <f t="array" aca="1" ref="I8" ca="1">_xlfn.XLOOKUP(I$2,INDIRECT("'" &amp; $C$1 &amp; "'!A:A"),INDIRECT("'" &amp; $C$1 &amp; "'!J:J"))</f>
        <v>0.72511848341232232</v>
      </c>
      <c r="J8" s="38" cm="1">
        <f t="array" aca="1" ref="J8" ca="1">_xlfn.XLOOKUP(J$2,INDIRECT("'" &amp; $C$1 &amp; "'!A:A"),INDIRECT("'" &amp; $C$1 &amp; "'!J:J"))</f>
        <v>0.72037914691943128</v>
      </c>
    </row>
    <row r="9" spans="2:10" x14ac:dyDescent="0.25">
      <c r="B9" s="2" t="s">
        <v>125</v>
      </c>
      <c r="C9" s="4" t="str" cm="1">
        <f t="array" aca="1" ref="C9" ca="1">_xlfn.XLOOKUP(C$2,INDIRECT("'" &amp; $C$1 &amp; "'!A:A"),INDIRECT("'" &amp; $C$1 &amp; "'!D:D"))</f>
        <v xml:space="preserve">Finocchiaro </v>
      </c>
      <c r="D9" s="4" t="str" cm="1">
        <f t="array" aca="1" ref="D9" ca="1">_xlfn.XLOOKUP(D$2,INDIRECT("'" &amp; $C$1 &amp; "'!A:A"),INDIRECT("'" &amp; $C$1 &amp; "'!D:D"))</f>
        <v xml:space="preserve">Russo </v>
      </c>
      <c r="E9" s="4" t="str" cm="1">
        <f t="array" aca="1" ref="E9" ca="1">_xlfn.XLOOKUP(E$2,INDIRECT("'" &amp; $C$1 &amp; "'!A:A"),INDIRECT("'" &amp; $C$1 &amp; "'!D:D"))</f>
        <v>Felice</v>
      </c>
      <c r="F9" s="4" t="str" cm="1">
        <f t="array" aca="1" ref="F9" ca="1">_xlfn.XLOOKUP(F$2,INDIRECT("'" &amp; $C$1 &amp; "'!A:A"),INDIRECT("'" &amp; $C$1 &amp; "'!D:D"))</f>
        <v>Felice</v>
      </c>
      <c r="G9" s="4" t="str" cm="1">
        <f t="array" aca="1" ref="G9" ca="1">_xlfn.XLOOKUP(G$2,INDIRECT("'" &amp; $C$1 &amp; "'!A:A"),INDIRECT("'" &amp; $C$1 &amp; "'!D:D"))</f>
        <v>Giuliano</v>
      </c>
      <c r="H9" s="4" t="str" cm="1">
        <f t="array" aca="1" ref="H9" ca="1">_xlfn.XLOOKUP(H$2,INDIRECT("'" &amp; $C$1 &amp; "'!A:A"),INDIRECT("'" &amp; $C$1 &amp; "'!D:D"))</f>
        <v xml:space="preserve">Biondi </v>
      </c>
      <c r="I9" s="4" t="str" cm="1">
        <f t="array" aca="1" ref="I9" ca="1">_xlfn.XLOOKUP(I$2,INDIRECT("'" &amp; $C$1 &amp; "'!A:A"),INDIRECT("'" &amp; $C$1 &amp; "'!D:D"))</f>
        <v>Pecorino</v>
      </c>
      <c r="J9" s="4" t="str" cm="1">
        <f t="array" aca="1" ref="J9" ca="1">_xlfn.XLOOKUP(J$2,INDIRECT("'" &amp; $C$1 &amp; "'!A:A"),INDIRECT("'" &amp; $C$1 &amp; "'!D:D"))</f>
        <v>Pecorino</v>
      </c>
    </row>
    <row r="10" spans="2:10" x14ac:dyDescent="0.25">
      <c r="B10" s="2" t="s">
        <v>184</v>
      </c>
      <c r="C10" s="28" cm="1">
        <f t="array" aca="1" ref="C10" ca="1">_xlfn.XLOOKUP(C$2,INDIRECT("'" &amp; $C$1 &amp; "'!A:A"),INDIRECT("'" &amp; $C$1 &amp; "'!o:o"))</f>
        <v>0</v>
      </c>
      <c r="D10" s="28" cm="1">
        <f t="array" aca="1" ref="D10" ca="1">_xlfn.XLOOKUP(D$2,INDIRECT("'" &amp; $C$1 &amp; "'!A:A"),INDIRECT("'" &amp; $C$1 &amp; "'!o:o"))</f>
        <v>0</v>
      </c>
      <c r="E10" s="28" cm="1">
        <f t="array" aca="1" ref="E10" ca="1">_xlfn.XLOOKUP(E$2,INDIRECT("'" &amp; $C$1 &amp; "'!A:A"),INDIRECT("'" &amp; $C$1 &amp; "'!o:o"))</f>
        <v>0</v>
      </c>
      <c r="F10" s="28" cm="1">
        <f t="array" aca="1" ref="F10" ca="1">_xlfn.XLOOKUP(F$2,INDIRECT("'" &amp; $C$1 &amp; "'!A:A"),INDIRECT("'" &amp; $C$1 &amp; "'!o:o"))</f>
        <v>0</v>
      </c>
      <c r="G10" s="28" cm="1">
        <f t="array" aca="1" ref="G10" ca="1">_xlfn.XLOOKUP(G$2,INDIRECT("'" &amp; $C$1 &amp; "'!A:A"),INDIRECT("'" &amp; $C$1 &amp; "'!o:o"))</f>
        <v>0</v>
      </c>
      <c r="H10" s="28" cm="1">
        <f t="array" aca="1" ref="H10" ca="1">_xlfn.XLOOKUP(H$2,INDIRECT("'" &amp; $C$1 &amp; "'!A:A"),INDIRECT("'" &amp; $C$1 &amp; "'!o:o"))</f>
        <v>0</v>
      </c>
      <c r="I10" s="28" cm="1">
        <f t="array" aca="1" ref="I10" ca="1">_xlfn.XLOOKUP(I$2,INDIRECT("'" &amp; $C$1 &amp; "'!A:A"),INDIRECT("'" &amp; $C$1 &amp; "'!o:o"))</f>
        <v>0</v>
      </c>
      <c r="J10" s="28" cm="1">
        <f t="array" aca="1" ref="J10" ca="1">_xlfn.XLOOKUP(J$2,INDIRECT("'" &amp; $C$1 &amp; "'!A:A"),INDIRECT("'" &amp; $C$1 &amp; "'!o:o"))</f>
        <v>0</v>
      </c>
    </row>
    <row r="11" spans="2:10" x14ac:dyDescent="0.25">
      <c r="B11" s="36" t="s">
        <v>166</v>
      </c>
      <c r="C11" s="4" t="str" cm="1">
        <f t="array" aca="1" ref="C11:C19" ca="1">_xlfn._xlws.FILTER(INDIRECT("'" &amp; $C$1 &amp; "'!l:l"),(INDIRECT("'" &amp; $C$1 &amp; "'!A:A")=C2)*(INDIRECT("'" &amp; $C$1 &amp; "'!l:l")&lt;&gt;0))</f>
        <v>AVERSA EMILIANO</v>
      </c>
      <c r="D11" s="4" t="str" cm="1">
        <f t="array" aca="1" ref="D11:D16" ca="1">_xlfn._xlws.FILTER(INDIRECT("'" &amp; $C$1 &amp; "'!l:l"),(INDIRECT("'" &amp; $C$1 &amp; "'!A:A")=D2)*(INDIRECT("'" &amp; $C$1 &amp; "'!l:l")&lt;&gt;0))</f>
        <v>BRUNO DOMENICO</v>
      </c>
      <c r="E11" s="4" t="str" cm="1">
        <f t="array" aca="1" ref="E11:E16" ca="1">_xlfn._xlws.FILTER(INDIRECT("'" &amp; $C$1 &amp; "'!l:l"),(INDIRECT("'" &amp; $C$1 &amp; "'!A:A")=E2)*(INDIRECT("'" &amp; $C$1 &amp; "'!l:l")&lt;&gt;0))</f>
        <v>BUA SALVATORE</v>
      </c>
      <c r="F11" s="4" t="str" cm="1">
        <f t="array" aca="1" ref="F11:F16" ca="1">_xlfn._xlws.FILTER(INDIRECT("'" &amp; $C$1 &amp; "'!l:l"),(INDIRECT("'" &amp; $C$1 &amp; "'!A:A")=F2)*(INDIRECT("'" &amp; $C$1 &amp; "'!l:l")&lt;&gt;0))</f>
        <v>CIANCITTO GAETANO</v>
      </c>
      <c r="G11" s="4" t="str" cm="1">
        <f t="array" aca="1" ref="G11:G16" ca="1">_xlfn._xlws.FILTER(INDIRECT("'" &amp; $C$1 &amp; "'!l:l"),(INDIRECT("'" &amp; $C$1 &amp; "'!A:A")=G2)*(INDIRECT("'" &amp; $C$1 &amp; "'!l:l")&lt;&gt;0))</f>
        <v>CIRNIGLIARO CARMELA</v>
      </c>
      <c r="H11" s="4" t="str" cm="1">
        <f t="array" aca="1" ref="H11:H15" ca="1">_xlfn._xlws.FILTER(INDIRECT("'" &amp; $C$1 &amp; "'!l:l"),(INDIRECT("'" &amp; $C$1 &amp; "'!A:A")=H2)*(INDIRECT("'" &amp; $C$1 &amp; "'!l:l")&lt;&gt;0))</f>
        <v>DI MARCO FRANCESCO MARCELLO</v>
      </c>
      <c r="I11" s="4" t="str" cm="1">
        <f t="array" aca="1" ref="I11:I15" ca="1">_xlfn._xlws.FILTER(INDIRECT("'" &amp; $C$1 &amp; "'!l:l"),(INDIRECT("'" &amp; $C$1 &amp; "'!A:A")=I2)*(INDIRECT("'" &amp; $C$1 &amp; "'!l:l")&lt;&gt;0))</f>
        <v>DI MAURO ANTONINO</v>
      </c>
      <c r="J11" s="4" t="str" cm="1">
        <f t="array" aca="1" ref="J11:J15" ca="1">_xlfn._xlws.FILTER(INDIRECT("'" &amp; $C$1 &amp; "'!l:l"),(INDIRECT("'" &amp; $C$1 &amp; "'!A:A")=J2)*(INDIRECT("'" &amp; $C$1 &amp; "'!l:l")&lt;&gt;0))</f>
        <v>FELICE SALVATORE</v>
      </c>
    </row>
    <row r="12" spans="2:10" x14ac:dyDescent="0.25">
      <c r="B12" s="27"/>
      <c r="C12" s="28" t="str">
        <f ca="1"/>
        <v>BIONDI ORAZIO</v>
      </c>
      <c r="D12" s="28" t="str">
        <f ca="1"/>
        <v>COMPAGNONE GAETANO</v>
      </c>
      <c r="E12" s="28" t="str">
        <f ca="1"/>
        <v>CONTI VALTER</v>
      </c>
      <c r="F12" s="28" t="str">
        <f ca="1"/>
        <v>COSTANZO GIUSEPPE</v>
      </c>
      <c r="G12" s="28" t="str">
        <f ca="1"/>
        <v>CUSINATO SILVIA</v>
      </c>
      <c r="H12" s="28" t="str">
        <f ca="1"/>
        <v>GIONGRANDI UMBERTO</v>
      </c>
      <c r="I12" s="28" t="str">
        <f ca="1"/>
        <v>GIULIANO ANTONELLO</v>
      </c>
      <c r="J12" s="28" t="str">
        <f ca="1"/>
        <v>GIULIO SALVATORE</v>
      </c>
    </row>
    <row r="13" spans="2:10" x14ac:dyDescent="0.25">
      <c r="B13" s="27"/>
      <c r="C13" s="4" t="str">
        <f ca="1"/>
        <v>BONANNO DAVIDE</v>
      </c>
      <c r="D13" s="4" t="str">
        <f ca="1"/>
        <v>FINOCCHIARO DAVIDE</v>
      </c>
      <c r="E13" s="4" t="str">
        <f ca="1"/>
        <v>FINOCCHIARO GIOVANNI</v>
      </c>
      <c r="F13" s="4" t="str">
        <f ca="1"/>
        <v>FINOCCHIARO MARIO</v>
      </c>
      <c r="G13" s="4" t="str">
        <f ca="1"/>
        <v>GALVAGNO CRISTINA</v>
      </c>
      <c r="H13" s="4" t="str">
        <f ca="1"/>
        <v>MANTEGNA GIUSEPPE</v>
      </c>
      <c r="I13" s="4" t="str">
        <f ca="1"/>
        <v>MURABITO ORAZIO</v>
      </c>
      <c r="J13" s="4" t="str">
        <f ca="1"/>
        <v>MOSCHETTO MARIO</v>
      </c>
    </row>
    <row r="14" spans="2:10" x14ac:dyDescent="0.25">
      <c r="B14" s="27"/>
      <c r="C14" s="28" t="str">
        <f ca="1"/>
        <v>BONANNO DAVIDE</v>
      </c>
      <c r="D14" s="28" t="str">
        <f ca="1"/>
        <v>GUARNERA SALVATORE</v>
      </c>
      <c r="E14" s="28" t="str">
        <f ca="1"/>
        <v>LINGUAGLOSSA SALVATORE</v>
      </c>
      <c r="F14" s="28" t="str">
        <f ca="1"/>
        <v>LOMBARDO CONCETTA</v>
      </c>
      <c r="G14" s="28" t="str">
        <f ca="1"/>
        <v>LIOTTA ALESSANDRO</v>
      </c>
      <c r="H14" s="28" t="str">
        <f ca="1"/>
        <v>RAPISARDA VALENTINO</v>
      </c>
      <c r="I14" s="28" t="str">
        <f ca="1"/>
        <v>ROCCAZZELLO SEBASTIANO</v>
      </c>
      <c r="J14" s="28" t="str">
        <f ca="1"/>
        <v>RUSSO BASILIO</v>
      </c>
    </row>
    <row r="15" spans="2:10" x14ac:dyDescent="0.25">
      <c r="B15" s="27"/>
      <c r="C15" s="4" t="str">
        <f ca="1"/>
        <v>BRUNO ANDREA ANTONINO</v>
      </c>
      <c r="D15" s="4" t="str">
        <f ca="1"/>
        <v>MURABITO VITO</v>
      </c>
      <c r="E15" s="4" t="str">
        <f ca="1"/>
        <v>PECI ANGELO</v>
      </c>
      <c r="F15" s="4" t="str">
        <f ca="1"/>
        <v>PECORINO PAOLO</v>
      </c>
      <c r="G15" s="4" t="str">
        <f ca="1"/>
        <v>PULVIRENTI MARIA CARMELA</v>
      </c>
      <c r="H15" s="4" t="str">
        <f ca="1"/>
        <v>TORRISI SALVATORE</v>
      </c>
      <c r="I15" s="4" t="str">
        <f ca="1"/>
        <v>TRIPODI MAURIZIO</v>
      </c>
      <c r="J15" s="4" t="str">
        <f ca="1"/>
        <v>VILLARI NOEMI</v>
      </c>
    </row>
    <row r="16" spans="2:10" x14ac:dyDescent="0.25">
      <c r="B16" s="27"/>
      <c r="C16" s="28" t="str">
        <f ca="1"/>
        <v>FICARRA ANDREA</v>
      </c>
      <c r="D16" s="28" t="str">
        <f ca="1"/>
        <v>SCHEMBRI MASSIMLIANO</v>
      </c>
      <c r="E16" s="28" t="str">
        <f ca="1"/>
        <v>SCHEMBRI SALVATORE</v>
      </c>
      <c r="F16" s="28" t="str">
        <f ca="1"/>
        <v>SCORDO CARMELO</v>
      </c>
      <c r="G16" s="28" t="str">
        <f ca="1"/>
        <v>SPAMPINATO DAVIDE</v>
      </c>
      <c r="H16" s="28"/>
      <c r="I16" s="28"/>
      <c r="J16" s="28"/>
    </row>
    <row r="17" spans="2:10" x14ac:dyDescent="0.25">
      <c r="B17" s="27"/>
      <c r="C17" s="4" t="str">
        <f ca="1"/>
        <v>GIUSTRA ANGELO</v>
      </c>
    </row>
    <row r="18" spans="2:10" x14ac:dyDescent="0.25">
      <c r="B18" s="27"/>
      <c r="C18" s="28" t="str">
        <f ca="1"/>
        <v>NAVE SALVATORE</v>
      </c>
      <c r="D18" s="28"/>
      <c r="E18" s="28"/>
      <c r="F18" s="28"/>
      <c r="G18" s="28"/>
      <c r="H18" s="28"/>
      <c r="I18" s="28"/>
      <c r="J18" s="28"/>
    </row>
    <row r="19" spans="2:10" x14ac:dyDescent="0.25">
      <c r="B19" s="27"/>
      <c r="C19" s="4" t="str">
        <f ca="1"/>
        <v>SALAMONE ANDRZEJ</v>
      </c>
    </row>
    <row r="20" spans="2:10" x14ac:dyDescent="0.25">
      <c r="B20" s="27"/>
      <c r="C20" s="28"/>
      <c r="D20" s="28"/>
      <c r="E20" s="28"/>
      <c r="F20" s="28"/>
      <c r="G20" s="28"/>
      <c r="H20" s="28"/>
      <c r="I20" s="28"/>
      <c r="J20" s="28"/>
    </row>
    <row r="21" spans="2:10" x14ac:dyDescent="0.25">
      <c r="B21" s="27"/>
    </row>
    <row r="22" spans="2:10" x14ac:dyDescent="0.25">
      <c r="B22" s="37"/>
      <c r="C22" s="28"/>
      <c r="D22" s="28"/>
      <c r="E22" s="28"/>
      <c r="F22" s="28"/>
      <c r="G22" s="28"/>
      <c r="H22" s="28"/>
      <c r="I22" s="28"/>
      <c r="J22" s="28"/>
    </row>
    <row r="23" spans="2:10" x14ac:dyDescent="0.25">
      <c r="B23" s="41" t="s">
        <v>185</v>
      </c>
      <c r="C23" s="4" t="str" cm="1">
        <f t="array" aca="1" ref="C23:C26" ca="1">_xlfn._xlws.FILTER(INDIRECT("'" &amp; $C$1 &amp; "'!N:N"),(INDIRECT("'" &amp; $C$1 &amp; "'!A:A")=C2)*(INDIRECT("'" &amp; $C$1 &amp; "'!N:N")&lt;&gt;0))</f>
        <v>LU548039</v>
      </c>
      <c r="D23" s="4" t="str" cm="1">
        <f t="array" aca="1" ref="D23:D26" ca="1">_xlfn._xlws.FILTER(INDIRECT("'" &amp; $C$1 &amp; "'!N:N"),(INDIRECT("'" &amp; $C$1 &amp; "'!A:A")=D2)*(INDIRECT("'" &amp; $C$1 &amp; "'!N:N")&lt;&gt;0))</f>
        <v>BJ576TN</v>
      </c>
      <c r="E23" s="4" t="str" cm="1">
        <f t="array" aca="1" ref="E23:E26" ca="1">_xlfn._xlws.FILTER(INDIRECT("'" &amp; $C$1 &amp; "'!N:N"),(INDIRECT("'" &amp; $C$1 &amp; "'!A:A")=E2)*(INDIRECT("'" &amp; $C$1 &amp; "'!N:N")&lt;&gt;0))</f>
        <v>CV618ME</v>
      </c>
      <c r="F23" s="4" t="str" cm="1">
        <f t="array" aca="1" ref="F23:F26" ca="1">_xlfn._xlws.FILTER(INDIRECT("'" &amp; $C$1 &amp; "'!N:N"),(INDIRECT("'" &amp; $C$1 &amp; "'!A:A")=F2)*(INDIRECT("'" &amp; $C$1 &amp; "'!N:N")&lt;&gt;0))</f>
        <v>CY589GW</v>
      </c>
      <c r="G23" s="4" t="str" cm="1">
        <f t="array" aca="1" ref="G23:G26" ca="1">_xlfn._xlws.FILTER(INDIRECT("'" &amp; $C$1 &amp; "'!N:N"),(INDIRECT("'" &amp; $C$1 &amp; "'!A:A")=G2)*(INDIRECT("'" &amp; $C$1 &amp; "'!N:N")&lt;&gt;0))</f>
        <v>DB958LE</v>
      </c>
      <c r="H23" s="4" t="str" cm="1">
        <f t="array" aca="1" ref="H23:H26" ca="1">_xlfn._xlws.FILTER(INDIRECT("'" &amp; $C$1 &amp; "'!N:N"),(INDIRECT("'" &amp; $C$1 &amp; "'!A:A")=H2)*(INDIRECT("'" &amp; $C$1 &amp; "'!N:N")&lt;&gt;0))</f>
        <v>DH099VV</v>
      </c>
      <c r="I23" s="4" t="str" cm="1">
        <f t="array" aca="1" ref="I23:I25" ca="1">_xlfn._xlws.FILTER(INDIRECT("'" &amp; $C$1 &amp; "'!N:N"),(INDIRECT("'" &amp; $C$1 &amp; "'!A:A")=I2)*(INDIRECT("'" &amp; $C$1 &amp; "'!N:N")&lt;&gt;0))</f>
        <v>DV107TN</v>
      </c>
      <c r="J23" s="4" t="str" cm="1">
        <f t="array" aca="1" ref="J23:J25" ca="1">_xlfn._xlws.FILTER(INDIRECT("'" &amp; $C$1 &amp; "'!N:N"),(INDIRECT("'" &amp; $C$1 &amp; "'!A:A")=J2)*(INDIRECT("'" &amp; $C$1 &amp; "'!N:N")&lt;&gt;0))</f>
        <v>EC943VH</v>
      </c>
    </row>
    <row r="24" spans="2:10" x14ac:dyDescent="0.25">
      <c r="B24" s="42"/>
      <c r="C24" s="28" t="str">
        <f ca="1"/>
        <v>EF559NH</v>
      </c>
      <c r="D24" s="28" t="str">
        <f ca="1"/>
        <v>EG027YC</v>
      </c>
      <c r="E24" s="28" t="str">
        <f ca="1"/>
        <v>EH570EG</v>
      </c>
      <c r="F24" s="28" t="str">
        <f ca="1"/>
        <v>EN538GW</v>
      </c>
      <c r="G24" s="28" t="str">
        <f ca="1"/>
        <v>EV747HA</v>
      </c>
      <c r="H24" s="28" t="str">
        <f ca="1"/>
        <v>EV749HA</v>
      </c>
      <c r="I24" s="28" t="str">
        <f ca="1"/>
        <v>EV748HA</v>
      </c>
      <c r="J24" s="28" t="str">
        <f ca="1"/>
        <v>EW378WF</v>
      </c>
    </row>
    <row r="25" spans="2:10" x14ac:dyDescent="0.25">
      <c r="B25" s="42"/>
      <c r="C25" s="4" t="str">
        <f ca="1"/>
        <v>FN047TL</v>
      </c>
      <c r="D25" s="4" t="str">
        <f ca="1"/>
        <v>FP515DX</v>
      </c>
      <c r="E25" s="4" t="str">
        <f ca="1"/>
        <v>FP742DN</v>
      </c>
      <c r="F25" s="4" t="str">
        <f ca="1"/>
        <v>FP986DT</v>
      </c>
      <c r="G25" s="4" t="str">
        <f ca="1"/>
        <v>FZ287JN</v>
      </c>
      <c r="H25" s="4" t="str">
        <f ca="1"/>
        <v>FZ288JN</v>
      </c>
      <c r="I25" s="4" t="str">
        <f ca="1"/>
        <v>FZ289JN</v>
      </c>
      <c r="J25" s="4" t="str">
        <f ca="1"/>
        <v>GL120MW</v>
      </c>
    </row>
    <row r="26" spans="2:10" x14ac:dyDescent="0.25">
      <c r="B26" s="42"/>
      <c r="C26" s="28" t="str">
        <f ca="1"/>
        <v>FZ291JN</v>
      </c>
      <c r="D26" s="28" t="str">
        <f ca="1"/>
        <v>FZ292JN</v>
      </c>
      <c r="E26" s="28" t="str">
        <f ca="1"/>
        <v>GL989MZ</v>
      </c>
      <c r="F26" s="28" t="str">
        <f ca="1"/>
        <v>GR106NB</v>
      </c>
      <c r="G26" s="28" t="str">
        <f ca="1"/>
        <v>GR965ND</v>
      </c>
      <c r="H26" s="28" t="str">
        <f ca="1"/>
        <v>GZ141CC</v>
      </c>
      <c r="I26" s="28"/>
      <c r="J26" s="28"/>
    </row>
  </sheetData>
  <mergeCells count="2">
    <mergeCell ref="C1:J1"/>
    <mergeCell ref="B23:B26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90BD5-0ABF-46C7-93E5-7F8B5DCDB8C3}">
  <dimension ref="A2:I27"/>
  <sheetViews>
    <sheetView tabSelected="1" topLeftCell="A2" workbookViewId="0">
      <selection activeCell="L16" sqref="L16"/>
    </sheetView>
  </sheetViews>
  <sheetFormatPr defaultRowHeight="15" x14ac:dyDescent="0.25"/>
  <sheetData>
    <row r="2" spans="1:9" x14ac:dyDescent="0.25">
      <c r="A2" t="str">
        <f>+'Dashboard Settimana'!B1</f>
        <v>Settimana</v>
      </c>
      <c r="B2">
        <f>+'Dashboard Settimana'!C1</f>
        <v>20</v>
      </c>
      <c r="C2">
        <f>+'Dashboard Settimana'!D1</f>
        <v>0</v>
      </c>
      <c r="D2">
        <f>+'Dashboard Settimana'!E1</f>
        <v>0</v>
      </c>
      <c r="E2">
        <f>+'Dashboard Settimana'!F1</f>
        <v>0</v>
      </c>
      <c r="F2">
        <f>+'Dashboard Settimana'!G1</f>
        <v>0</v>
      </c>
      <c r="G2">
        <f>+'Dashboard Settimana'!H1</f>
        <v>0</v>
      </c>
      <c r="H2">
        <f>+'Dashboard Settimana'!I1</f>
        <v>0</v>
      </c>
      <c r="I2">
        <f>+'Dashboard Settimana'!J1</f>
        <v>0</v>
      </c>
    </row>
    <row r="3" spans="1:9" x14ac:dyDescent="0.25">
      <c r="A3" t="str">
        <f>+'Dashboard Settimana'!B2</f>
        <v>ID Cantiere</v>
      </c>
      <c r="B3" t="str">
        <f ca="1">+'Dashboard Settimana'!C2</f>
        <v>CEE1484-0A</v>
      </c>
      <c r="C3" t="str">
        <f ca="1">+'Dashboard Settimana'!D2</f>
        <v>CEE1484_0C</v>
      </c>
      <c r="D3" t="str">
        <f ca="1">+'Dashboard Settimana'!E2</f>
        <v>CEE1538</v>
      </c>
      <c r="E3" t="str">
        <f ca="1">+'Dashboard Settimana'!F2</f>
        <v>CEE1565</v>
      </c>
      <c r="F3" t="str">
        <f ca="1">+'Dashboard Settimana'!G2</f>
        <v>ID Cantiere 1</v>
      </c>
      <c r="G3" t="str">
        <f ca="1">+'Dashboard Settimana'!H2</f>
        <v>CEE1555</v>
      </c>
      <c r="H3" t="str">
        <f ca="1">+'Dashboard Settimana'!I2</f>
        <v>CEM</v>
      </c>
      <c r="I3" t="str">
        <f ca="1">+'Dashboard Settimana'!J2</f>
        <v>CEM1</v>
      </c>
    </row>
    <row r="4" spans="1:9" x14ac:dyDescent="0.25">
      <c r="A4" t="str">
        <f>+'Dashboard Settimana'!B3</f>
        <v>Nome Cantiere</v>
      </c>
      <c r="B4" t="str">
        <f ca="1">+'Dashboard Settimana'!C3</f>
        <v>Priolo</v>
      </c>
      <c r="C4" t="str">
        <f ca="1">+'Dashboard Settimana'!D3</f>
        <v>chiarmonte</v>
      </c>
      <c r="D4" t="str">
        <f ca="1">+'Dashboard Settimana'!E3</f>
        <v>Noto</v>
      </c>
      <c r="E4" t="str">
        <f ca="1">+'Dashboard Settimana'!F3</f>
        <v xml:space="preserve">noto </v>
      </c>
      <c r="F4" t="str">
        <f ca="1">+'Dashboard Settimana'!G3</f>
        <v>Scandale</v>
      </c>
      <c r="G4" t="str">
        <f ca="1">+'Dashboard Settimana'!H3</f>
        <v>VILLAFRANCA</v>
      </c>
      <c r="H4" t="str">
        <f ca="1">+'Dashboard Settimana'!I3</f>
        <v xml:space="preserve">SSE Parco  Mineo </v>
      </c>
      <c r="I4" t="str">
        <f ca="1">+'Dashboard Settimana'!J3</f>
        <v>se mazara</v>
      </c>
    </row>
    <row r="5" spans="1:9" x14ac:dyDescent="0.25">
      <c r="A5" t="str">
        <f>+'Dashboard Settimana'!B4</f>
        <v>Committente</v>
      </c>
      <c r="B5" t="str">
        <f ca="1">+'Dashboard Settimana'!C4</f>
        <v>Terna</v>
      </c>
      <c r="C5" t="str">
        <f ca="1">+'Dashboard Settimana'!D4</f>
        <v>Terna</v>
      </c>
      <c r="D5" t="str">
        <f ca="1">+'Dashboard Settimana'!E4</f>
        <v>SIEMENS ENERGY</v>
      </c>
      <c r="E5" t="str">
        <f ca="1">+'Dashboard Settimana'!F4</f>
        <v>damico industria</v>
      </c>
      <c r="F5" t="str">
        <f ca="1">+'Dashboard Settimana'!G4</f>
        <v>GRID</v>
      </c>
      <c r="G5" t="str">
        <f ca="1">+'Dashboard Settimana'!H4</f>
        <v>TESMEC</v>
      </c>
      <c r="H5" t="str">
        <f ca="1">+'Dashboard Settimana'!I4</f>
        <v xml:space="preserve">SIEMENS </v>
      </c>
      <c r="I5" t="str">
        <f ca="1">+'Dashboard Settimana'!J4</f>
        <v xml:space="preserve">SIEMENS </v>
      </c>
    </row>
    <row r="6" spans="1:9" x14ac:dyDescent="0.25">
      <c r="A6" t="str">
        <f>+'Dashboard Settimana'!B5</f>
        <v>Descrizione Attività</v>
      </c>
      <c r="B6" t="str">
        <f ca="1">+'Dashboard Settimana'!C5</f>
        <v>Montaggio interruttore</v>
      </c>
      <c r="C6" t="str">
        <f ca="1">+'Dashboard Settimana'!D5</f>
        <v>Montaggio sezionatore</v>
      </c>
      <c r="D6" t="str">
        <f ca="1">+'Dashboard Settimana'!E5</f>
        <v>Montaggio scaricatore</v>
      </c>
      <c r="E6" t="str">
        <f ca="1">+'Dashboard Settimana'!F5</f>
        <v>Montaggio ta</v>
      </c>
      <c r="F6" t="str">
        <f ca="1">+'Dashboard Settimana'!G5</f>
        <v>Montaggio tv</v>
      </c>
      <c r="G6" t="str">
        <f ca="1">+'Dashboard Settimana'!H5</f>
        <v>Cablaggio Cavi</v>
      </c>
      <c r="H6" t="str">
        <f ca="1">+'Dashboard Settimana'!I5</f>
        <v>Montaggio Carpenteria</v>
      </c>
      <c r="I6" t="str">
        <f ca="1">+'Dashboard Settimana'!J5</f>
        <v>Montaggio trasformatore</v>
      </c>
    </row>
    <row r="7" spans="1:9" x14ac:dyDescent="0.25">
      <c r="A7" t="str">
        <f>+'Dashboard Settimana'!B6</f>
        <v>Data inizio</v>
      </c>
      <c r="B7">
        <f ca="1">+'Dashboard Settimana'!C6</f>
        <v>45658</v>
      </c>
      <c r="C7">
        <f ca="1">+'Dashboard Settimana'!D6</f>
        <v>45659</v>
      </c>
      <c r="D7">
        <f ca="1">+'Dashboard Settimana'!E6</f>
        <v>45660</v>
      </c>
      <c r="E7">
        <f ca="1">+'Dashboard Settimana'!F6</f>
        <v>45661</v>
      </c>
      <c r="F7">
        <f ca="1">+'Dashboard Settimana'!G6</f>
        <v>45662</v>
      </c>
      <c r="G7">
        <f ca="1">+'Dashboard Settimana'!H6</f>
        <v>45663</v>
      </c>
      <c r="H7">
        <f ca="1">+'Dashboard Settimana'!I6</f>
        <v>45664</v>
      </c>
      <c r="I7">
        <f ca="1">+'Dashboard Settimana'!J6</f>
        <v>45665</v>
      </c>
    </row>
    <row r="8" spans="1:9" x14ac:dyDescent="0.25">
      <c r="A8" t="str">
        <f>+'Dashboard Settimana'!B7</f>
        <v>Data Fine</v>
      </c>
      <c r="B8">
        <f ca="1">+'Dashboard Settimana'!C7</f>
        <v>45869</v>
      </c>
      <c r="C8">
        <f ca="1">+'Dashboard Settimana'!D7</f>
        <v>45870</v>
      </c>
      <c r="D8">
        <f ca="1">+'Dashboard Settimana'!E7</f>
        <v>45871</v>
      </c>
      <c r="E8">
        <f ca="1">+'Dashboard Settimana'!F7</f>
        <v>45872</v>
      </c>
      <c r="F8">
        <f ca="1">+'Dashboard Settimana'!G7</f>
        <v>45873</v>
      </c>
      <c r="G8">
        <f ca="1">+'Dashboard Settimana'!H7</f>
        <v>45874</v>
      </c>
      <c r="H8">
        <f ca="1">+'Dashboard Settimana'!I7</f>
        <v>45875</v>
      </c>
      <c r="I8">
        <f ca="1">+'Dashboard Settimana'!J7</f>
        <v>45876</v>
      </c>
    </row>
    <row r="9" spans="1:9" x14ac:dyDescent="0.25">
      <c r="A9" t="str">
        <f>+'Dashboard Settimana'!B8</f>
        <v>Stato avanzamento</v>
      </c>
      <c r="B9">
        <f ca="1">+'Dashboard Settimana'!C8</f>
        <v>0.75355450236966826</v>
      </c>
      <c r="C9">
        <f ca="1">+'Dashboard Settimana'!D8</f>
        <v>0.74881516587677721</v>
      </c>
      <c r="D9">
        <f ca="1">+'Dashboard Settimana'!E8</f>
        <v>0.74407582938388628</v>
      </c>
      <c r="E9">
        <f ca="1">+'Dashboard Settimana'!F8</f>
        <v>0.73933649289099523</v>
      </c>
      <c r="F9">
        <f ca="1">+'Dashboard Settimana'!G8</f>
        <v>0.7345971563981043</v>
      </c>
      <c r="G9">
        <f ca="1">+'Dashboard Settimana'!H8</f>
        <v>0.72985781990521326</v>
      </c>
      <c r="H9">
        <f ca="1">+'Dashboard Settimana'!I8</f>
        <v>0.72511848341232232</v>
      </c>
      <c r="I9">
        <f ca="1">+'Dashboard Settimana'!J8</f>
        <v>0.72037914691943128</v>
      </c>
    </row>
    <row r="10" spans="1:9" x14ac:dyDescent="0.25">
      <c r="A10" t="str">
        <f>+'Dashboard Settimana'!B9</f>
        <v>Capocantiere</v>
      </c>
      <c r="B10" t="str">
        <f ca="1">+'Dashboard Settimana'!C9</f>
        <v xml:space="preserve">Finocchiaro </v>
      </c>
      <c r="C10" t="str">
        <f ca="1">+'Dashboard Settimana'!D9</f>
        <v xml:space="preserve">Russo </v>
      </c>
      <c r="D10" t="str">
        <f ca="1">+'Dashboard Settimana'!E9</f>
        <v>Felice</v>
      </c>
      <c r="E10" t="str">
        <f ca="1">+'Dashboard Settimana'!F9</f>
        <v>Felice</v>
      </c>
      <c r="F10" t="str">
        <f ca="1">+'Dashboard Settimana'!G9</f>
        <v>Giuliano</v>
      </c>
      <c r="G10" t="str">
        <f ca="1">+'Dashboard Settimana'!H9</f>
        <v xml:space="preserve">Biondi </v>
      </c>
      <c r="H10" t="str">
        <f ca="1">+'Dashboard Settimana'!I9</f>
        <v>Pecorino</v>
      </c>
      <c r="I10" t="str">
        <f ca="1">+'Dashboard Settimana'!J9</f>
        <v>Pecorino</v>
      </c>
    </row>
    <row r="11" spans="1:9" x14ac:dyDescent="0.25">
      <c r="A11" t="str">
        <f>+'Dashboard Settimana'!B10</f>
        <v>Note</v>
      </c>
      <c r="B11">
        <f ca="1">+'Dashboard Settimana'!C10</f>
        <v>0</v>
      </c>
      <c r="C11">
        <f ca="1">+'Dashboard Settimana'!D10</f>
        <v>0</v>
      </c>
      <c r="D11">
        <f ca="1">+'Dashboard Settimana'!E10</f>
        <v>0</v>
      </c>
      <c r="E11">
        <f ca="1">+'Dashboard Settimana'!F10</f>
        <v>0</v>
      </c>
      <c r="F11">
        <f ca="1">+'Dashboard Settimana'!G10</f>
        <v>0</v>
      </c>
      <c r="G11">
        <f ca="1">+'Dashboard Settimana'!H10</f>
        <v>0</v>
      </c>
      <c r="H11">
        <f ca="1">+'Dashboard Settimana'!I10</f>
        <v>0</v>
      </c>
      <c r="I11">
        <f ca="1">+'Dashboard Settimana'!J10</f>
        <v>0</v>
      </c>
    </row>
    <row r="12" spans="1:9" x14ac:dyDescent="0.25">
      <c r="A12" t="str">
        <f>+'Dashboard Settimana'!B11</f>
        <v>Dipendenti</v>
      </c>
      <c r="B12" t="str">
        <f ca="1">+'Dashboard Settimana'!C11</f>
        <v>AVERSA EMILIANO</v>
      </c>
      <c r="C12" t="str">
        <f ca="1">+'Dashboard Settimana'!D11</f>
        <v>BRUNO DOMENICO</v>
      </c>
      <c r="D12" t="str">
        <f ca="1">+'Dashboard Settimana'!E11</f>
        <v>BUA SALVATORE</v>
      </c>
      <c r="E12" t="str">
        <f ca="1">+'Dashboard Settimana'!F11</f>
        <v>CIANCITTO GAETANO</v>
      </c>
      <c r="F12" t="str">
        <f ca="1">+'Dashboard Settimana'!G11</f>
        <v>CIRNIGLIARO CARMELA</v>
      </c>
      <c r="G12" t="str">
        <f ca="1">+'Dashboard Settimana'!H11</f>
        <v>DI MARCO FRANCESCO MARCELLO</v>
      </c>
      <c r="H12" t="str">
        <f ca="1">+'Dashboard Settimana'!I11</f>
        <v>DI MAURO ANTONINO</v>
      </c>
      <c r="I12" t="str">
        <f ca="1">+'Dashboard Settimana'!J11</f>
        <v>FELICE SALVATORE</v>
      </c>
    </row>
    <row r="13" spans="1:9" x14ac:dyDescent="0.25">
      <c r="A13">
        <f>+'Dashboard Settimana'!B12</f>
        <v>0</v>
      </c>
      <c r="B13" t="str">
        <f ca="1">+'Dashboard Settimana'!C12</f>
        <v>BIONDI ORAZIO</v>
      </c>
      <c r="C13" t="str">
        <f ca="1">+'Dashboard Settimana'!D12</f>
        <v>COMPAGNONE GAETANO</v>
      </c>
      <c r="D13" t="str">
        <f ca="1">+'Dashboard Settimana'!E12</f>
        <v>CONTI VALTER</v>
      </c>
      <c r="E13" t="str">
        <f ca="1">+'Dashboard Settimana'!F12</f>
        <v>COSTANZO GIUSEPPE</v>
      </c>
      <c r="F13" t="str">
        <f ca="1">+'Dashboard Settimana'!G12</f>
        <v>CUSINATO SILVIA</v>
      </c>
      <c r="G13" t="str">
        <f ca="1">+'Dashboard Settimana'!H12</f>
        <v>GIONGRANDI UMBERTO</v>
      </c>
      <c r="H13" t="str">
        <f ca="1">+'Dashboard Settimana'!I12</f>
        <v>GIULIANO ANTONELLO</v>
      </c>
      <c r="I13" t="str">
        <f ca="1">+'Dashboard Settimana'!J12</f>
        <v>GIULIO SALVATORE</v>
      </c>
    </row>
    <row r="14" spans="1:9" x14ac:dyDescent="0.25">
      <c r="A14">
        <f>+'Dashboard Settimana'!B13</f>
        <v>0</v>
      </c>
      <c r="B14" t="str">
        <f ca="1">+'Dashboard Settimana'!C13</f>
        <v>BONANNO DAVIDE</v>
      </c>
      <c r="C14" t="str">
        <f ca="1">+'Dashboard Settimana'!D13</f>
        <v>FINOCCHIARO DAVIDE</v>
      </c>
      <c r="D14" t="str">
        <f ca="1">+'Dashboard Settimana'!E13</f>
        <v>FINOCCHIARO GIOVANNI</v>
      </c>
      <c r="E14" t="str">
        <f ca="1">+'Dashboard Settimana'!F13</f>
        <v>FINOCCHIARO MARIO</v>
      </c>
      <c r="F14" t="str">
        <f ca="1">+'Dashboard Settimana'!G13</f>
        <v>GALVAGNO CRISTINA</v>
      </c>
      <c r="G14" t="str">
        <f ca="1">+'Dashboard Settimana'!H13</f>
        <v>MANTEGNA GIUSEPPE</v>
      </c>
      <c r="H14" t="str">
        <f ca="1">+'Dashboard Settimana'!I13</f>
        <v>MURABITO ORAZIO</v>
      </c>
      <c r="I14" t="str">
        <f ca="1">+'Dashboard Settimana'!J13</f>
        <v>MOSCHETTO MARIO</v>
      </c>
    </row>
    <row r="15" spans="1:9" x14ac:dyDescent="0.25">
      <c r="A15">
        <f>+'Dashboard Settimana'!B14</f>
        <v>0</v>
      </c>
      <c r="B15" t="str">
        <f ca="1">+'Dashboard Settimana'!C14</f>
        <v>BONANNO DAVIDE</v>
      </c>
      <c r="C15" t="str">
        <f ca="1">+'Dashboard Settimana'!D14</f>
        <v>GUARNERA SALVATORE</v>
      </c>
      <c r="D15" t="str">
        <f ca="1">+'Dashboard Settimana'!E14</f>
        <v>LINGUAGLOSSA SALVATORE</v>
      </c>
      <c r="E15" t="str">
        <f ca="1">+'Dashboard Settimana'!F14</f>
        <v>LOMBARDO CONCETTA</v>
      </c>
      <c r="F15" t="str">
        <f ca="1">+'Dashboard Settimana'!G14</f>
        <v>LIOTTA ALESSANDRO</v>
      </c>
      <c r="G15" t="str">
        <f ca="1">+'Dashboard Settimana'!H14</f>
        <v>RAPISARDA VALENTINO</v>
      </c>
      <c r="H15" t="str">
        <f ca="1">+'Dashboard Settimana'!I14</f>
        <v>ROCCAZZELLO SEBASTIANO</v>
      </c>
      <c r="I15" t="str">
        <f ca="1">+'Dashboard Settimana'!J14</f>
        <v>RUSSO BASILIO</v>
      </c>
    </row>
    <row r="16" spans="1:9" x14ac:dyDescent="0.25">
      <c r="A16">
        <f>+'Dashboard Settimana'!B15</f>
        <v>0</v>
      </c>
      <c r="B16" t="str">
        <f ca="1">+'Dashboard Settimana'!C15</f>
        <v>BRUNO ANDREA ANTONINO</v>
      </c>
      <c r="C16" t="str">
        <f ca="1">+'Dashboard Settimana'!D15</f>
        <v>MURABITO VITO</v>
      </c>
      <c r="D16" t="str">
        <f ca="1">+'Dashboard Settimana'!E15</f>
        <v>PECI ANGELO</v>
      </c>
      <c r="E16" t="str">
        <f ca="1">+'Dashboard Settimana'!F15</f>
        <v>PECORINO PAOLO</v>
      </c>
      <c r="F16" t="str">
        <f ca="1">+'Dashboard Settimana'!G15</f>
        <v>PULVIRENTI MARIA CARMELA</v>
      </c>
      <c r="G16" t="str">
        <f ca="1">+'Dashboard Settimana'!H15</f>
        <v>TORRISI SALVATORE</v>
      </c>
      <c r="H16" t="str">
        <f ca="1">+'Dashboard Settimana'!I15</f>
        <v>TRIPODI MAURIZIO</v>
      </c>
      <c r="I16" t="str">
        <f ca="1">+'Dashboard Settimana'!J15</f>
        <v>VILLARI NOEMI</v>
      </c>
    </row>
    <row r="17" spans="1:9" x14ac:dyDescent="0.25">
      <c r="A17">
        <f>+'Dashboard Settimana'!B16</f>
        <v>0</v>
      </c>
      <c r="B17" t="str">
        <f ca="1">+'Dashboard Settimana'!C16</f>
        <v>FICARRA ANDREA</v>
      </c>
      <c r="C17" t="str">
        <f ca="1">+'Dashboard Settimana'!D16</f>
        <v>SCHEMBRI MASSIMLIANO</v>
      </c>
      <c r="D17" t="str">
        <f ca="1">+'Dashboard Settimana'!E16</f>
        <v>SCHEMBRI SALVATORE</v>
      </c>
      <c r="E17" t="str">
        <f ca="1">+'Dashboard Settimana'!F16</f>
        <v>SCORDO CARMELO</v>
      </c>
      <c r="F17" t="str">
        <f ca="1">+'Dashboard Settimana'!G16</f>
        <v>SPAMPINATO DAVIDE</v>
      </c>
      <c r="G17">
        <f>+'Dashboard Settimana'!H16</f>
        <v>0</v>
      </c>
      <c r="H17">
        <f>+'Dashboard Settimana'!I16</f>
        <v>0</v>
      </c>
      <c r="I17">
        <f>+'Dashboard Settimana'!J16</f>
        <v>0</v>
      </c>
    </row>
    <row r="18" spans="1:9" x14ac:dyDescent="0.25">
      <c r="A18">
        <f>+'Dashboard Settimana'!B17</f>
        <v>0</v>
      </c>
      <c r="B18" t="str">
        <f ca="1">+'Dashboard Settimana'!C17</f>
        <v>GIUSTRA ANGELO</v>
      </c>
      <c r="C18">
        <f>+'Dashboard Settimana'!D17</f>
        <v>0</v>
      </c>
      <c r="D18">
        <f>+'Dashboard Settimana'!E17</f>
        <v>0</v>
      </c>
      <c r="E18">
        <f>+'Dashboard Settimana'!F17</f>
        <v>0</v>
      </c>
      <c r="F18">
        <f>+'Dashboard Settimana'!G17</f>
        <v>0</v>
      </c>
      <c r="G18">
        <f>+'Dashboard Settimana'!H17</f>
        <v>0</v>
      </c>
      <c r="H18">
        <f>+'Dashboard Settimana'!I17</f>
        <v>0</v>
      </c>
      <c r="I18">
        <f>+'Dashboard Settimana'!J17</f>
        <v>0</v>
      </c>
    </row>
    <row r="19" spans="1:9" x14ac:dyDescent="0.25">
      <c r="A19">
        <f>+'Dashboard Settimana'!B18</f>
        <v>0</v>
      </c>
      <c r="B19" t="str">
        <f ca="1">+'Dashboard Settimana'!C18</f>
        <v>NAVE SALVATORE</v>
      </c>
      <c r="C19">
        <f>+'Dashboard Settimana'!D18</f>
        <v>0</v>
      </c>
      <c r="D19">
        <f>+'Dashboard Settimana'!E18</f>
        <v>0</v>
      </c>
      <c r="E19">
        <f>+'Dashboard Settimana'!F18</f>
        <v>0</v>
      </c>
      <c r="F19">
        <f>+'Dashboard Settimana'!G18</f>
        <v>0</v>
      </c>
      <c r="G19">
        <f>+'Dashboard Settimana'!H18</f>
        <v>0</v>
      </c>
      <c r="H19">
        <f>+'Dashboard Settimana'!I18</f>
        <v>0</v>
      </c>
      <c r="I19">
        <f>+'Dashboard Settimana'!J18</f>
        <v>0</v>
      </c>
    </row>
    <row r="20" spans="1:9" x14ac:dyDescent="0.25">
      <c r="A20">
        <f>+'Dashboard Settimana'!B19</f>
        <v>0</v>
      </c>
      <c r="B20" t="str">
        <f ca="1">+'Dashboard Settimana'!C19</f>
        <v>SALAMONE ANDRZEJ</v>
      </c>
      <c r="C20">
        <f>+'Dashboard Settimana'!D19</f>
        <v>0</v>
      </c>
      <c r="D20">
        <f>+'Dashboard Settimana'!E19</f>
        <v>0</v>
      </c>
      <c r="E20">
        <f>+'Dashboard Settimana'!F19</f>
        <v>0</v>
      </c>
      <c r="F20">
        <f>+'Dashboard Settimana'!G19</f>
        <v>0</v>
      </c>
      <c r="G20">
        <f>+'Dashboard Settimana'!H19</f>
        <v>0</v>
      </c>
      <c r="H20">
        <f>+'Dashboard Settimana'!I19</f>
        <v>0</v>
      </c>
      <c r="I20">
        <f>+'Dashboard Settimana'!J19</f>
        <v>0</v>
      </c>
    </row>
    <row r="21" spans="1:9" x14ac:dyDescent="0.25">
      <c r="A21">
        <f>+'Dashboard Settimana'!B20</f>
        <v>0</v>
      </c>
      <c r="B21">
        <f>+'Dashboard Settimana'!C20</f>
        <v>0</v>
      </c>
      <c r="C21">
        <f>+'Dashboard Settimana'!D20</f>
        <v>0</v>
      </c>
      <c r="D21">
        <f>+'Dashboard Settimana'!E20</f>
        <v>0</v>
      </c>
      <c r="E21">
        <f>+'Dashboard Settimana'!F20</f>
        <v>0</v>
      </c>
      <c r="F21">
        <f>+'Dashboard Settimana'!G20</f>
        <v>0</v>
      </c>
      <c r="G21">
        <f>+'Dashboard Settimana'!H20</f>
        <v>0</v>
      </c>
      <c r="H21">
        <f>+'Dashboard Settimana'!I20</f>
        <v>0</v>
      </c>
      <c r="I21">
        <f>+'Dashboard Settimana'!J20</f>
        <v>0</v>
      </c>
    </row>
    <row r="22" spans="1:9" x14ac:dyDescent="0.25">
      <c r="A22">
        <f>+'Dashboard Settimana'!B21</f>
        <v>0</v>
      </c>
      <c r="B22">
        <f>+'Dashboard Settimana'!C21</f>
        <v>0</v>
      </c>
      <c r="C22">
        <f>+'Dashboard Settimana'!D21</f>
        <v>0</v>
      </c>
      <c r="D22">
        <f>+'Dashboard Settimana'!E21</f>
        <v>0</v>
      </c>
      <c r="E22">
        <f>+'Dashboard Settimana'!F21</f>
        <v>0</v>
      </c>
      <c r="F22">
        <f>+'Dashboard Settimana'!G21</f>
        <v>0</v>
      </c>
      <c r="G22">
        <f>+'Dashboard Settimana'!H21</f>
        <v>0</v>
      </c>
      <c r="H22">
        <f>+'Dashboard Settimana'!I21</f>
        <v>0</v>
      </c>
      <c r="I22">
        <f>+'Dashboard Settimana'!J21</f>
        <v>0</v>
      </c>
    </row>
    <row r="23" spans="1:9" x14ac:dyDescent="0.25">
      <c r="A23">
        <f>+'Dashboard Settimana'!B22</f>
        <v>0</v>
      </c>
      <c r="B23">
        <f>+'Dashboard Settimana'!C22</f>
        <v>0</v>
      </c>
      <c r="C23">
        <f>+'Dashboard Settimana'!D22</f>
        <v>0</v>
      </c>
      <c r="D23">
        <f>+'Dashboard Settimana'!E22</f>
        <v>0</v>
      </c>
      <c r="E23">
        <f>+'Dashboard Settimana'!F22</f>
        <v>0</v>
      </c>
      <c r="F23">
        <f>+'Dashboard Settimana'!G22</f>
        <v>0</v>
      </c>
      <c r="G23">
        <f>+'Dashboard Settimana'!H22</f>
        <v>0</v>
      </c>
      <c r="H23">
        <f>+'Dashboard Settimana'!I22</f>
        <v>0</v>
      </c>
      <c r="I23">
        <f>+'Dashboard Settimana'!J22</f>
        <v>0</v>
      </c>
    </row>
    <row r="24" spans="1:9" x14ac:dyDescent="0.25">
      <c r="A24" t="str">
        <f>+'Dashboard Settimana'!B23</f>
        <v>Mezzi</v>
      </c>
      <c r="B24" t="str">
        <f ca="1">+'Dashboard Settimana'!C23</f>
        <v>LU548039</v>
      </c>
      <c r="C24" t="str">
        <f ca="1">+'Dashboard Settimana'!D23</f>
        <v>BJ576TN</v>
      </c>
      <c r="D24" t="str">
        <f ca="1">+'Dashboard Settimana'!E23</f>
        <v>CV618ME</v>
      </c>
      <c r="E24" t="str">
        <f ca="1">+'Dashboard Settimana'!F23</f>
        <v>CY589GW</v>
      </c>
      <c r="F24" t="str">
        <f ca="1">+'Dashboard Settimana'!G23</f>
        <v>DB958LE</v>
      </c>
      <c r="G24" t="str">
        <f ca="1">+'Dashboard Settimana'!H23</f>
        <v>DH099VV</v>
      </c>
      <c r="H24" t="str">
        <f ca="1">+'Dashboard Settimana'!I23</f>
        <v>DV107TN</v>
      </c>
      <c r="I24" t="str">
        <f ca="1">+'Dashboard Settimana'!J23</f>
        <v>EC943VH</v>
      </c>
    </row>
    <row r="25" spans="1:9" x14ac:dyDescent="0.25">
      <c r="A25">
        <f>+'Dashboard Settimana'!B24</f>
        <v>0</v>
      </c>
      <c r="B25" t="str">
        <f ca="1">+'Dashboard Settimana'!C24</f>
        <v>EF559NH</v>
      </c>
      <c r="C25" t="str">
        <f ca="1">+'Dashboard Settimana'!D24</f>
        <v>EG027YC</v>
      </c>
      <c r="D25" t="str">
        <f ca="1">+'Dashboard Settimana'!E24</f>
        <v>EH570EG</v>
      </c>
      <c r="E25" t="str">
        <f ca="1">+'Dashboard Settimana'!F24</f>
        <v>EN538GW</v>
      </c>
      <c r="F25" t="str">
        <f ca="1">+'Dashboard Settimana'!G24</f>
        <v>EV747HA</v>
      </c>
      <c r="G25" t="str">
        <f ca="1">+'Dashboard Settimana'!H24</f>
        <v>EV749HA</v>
      </c>
      <c r="H25" t="str">
        <f ca="1">+'Dashboard Settimana'!I24</f>
        <v>EV748HA</v>
      </c>
      <c r="I25" t="str">
        <f ca="1">+'Dashboard Settimana'!J24</f>
        <v>EW378WF</v>
      </c>
    </row>
    <row r="26" spans="1:9" x14ac:dyDescent="0.25">
      <c r="A26">
        <f>+'Dashboard Settimana'!B25</f>
        <v>0</v>
      </c>
      <c r="B26" t="str">
        <f ca="1">+'Dashboard Settimana'!C25</f>
        <v>FN047TL</v>
      </c>
      <c r="C26" t="str">
        <f ca="1">+'Dashboard Settimana'!D25</f>
        <v>FP515DX</v>
      </c>
      <c r="D26" t="str">
        <f ca="1">+'Dashboard Settimana'!E25</f>
        <v>FP742DN</v>
      </c>
      <c r="E26" t="str">
        <f ca="1">+'Dashboard Settimana'!F25</f>
        <v>FP986DT</v>
      </c>
      <c r="F26" t="str">
        <f ca="1">+'Dashboard Settimana'!G25</f>
        <v>FZ287JN</v>
      </c>
      <c r="G26" t="str">
        <f ca="1">+'Dashboard Settimana'!H25</f>
        <v>FZ288JN</v>
      </c>
      <c r="H26" t="str">
        <f ca="1">+'Dashboard Settimana'!I25</f>
        <v>FZ289JN</v>
      </c>
      <c r="I26" t="str">
        <f ca="1">+'Dashboard Settimana'!J25</f>
        <v>GL120MW</v>
      </c>
    </row>
    <row r="27" spans="1:9" x14ac:dyDescent="0.25">
      <c r="A27">
        <f>+'Dashboard Settimana'!B26</f>
        <v>0</v>
      </c>
      <c r="B27" t="str">
        <f ca="1">+'Dashboard Settimana'!C26</f>
        <v>FZ291JN</v>
      </c>
      <c r="C27" t="str">
        <f ca="1">+'Dashboard Settimana'!D26</f>
        <v>FZ292JN</v>
      </c>
      <c r="D27" t="str">
        <f ca="1">+'Dashboard Settimana'!E26</f>
        <v>GL989MZ</v>
      </c>
      <c r="E27" t="str">
        <f ca="1">+'Dashboard Settimana'!F26</f>
        <v>GR106NB</v>
      </c>
      <c r="F27" t="str">
        <f ca="1">+'Dashboard Settimana'!G26</f>
        <v>GR965ND</v>
      </c>
      <c r="G27" t="str">
        <f ca="1">+'Dashboard Settimana'!H26</f>
        <v>GZ141CC</v>
      </c>
      <c r="H27">
        <f>+'Dashboard Settimana'!I26</f>
        <v>0</v>
      </c>
      <c r="I27">
        <f>+'Dashboard Settimana'!J26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865F9-E640-46D9-9439-F2AB0F8F65D3}">
  <sheetPr codeName="Foglio1"/>
  <dimension ref="A1:P88"/>
  <sheetViews>
    <sheetView showGridLines="0" workbookViewId="0">
      <selection activeCell="K1" sqref="K1:K1048576"/>
    </sheetView>
  </sheetViews>
  <sheetFormatPr defaultRowHeight="15" x14ac:dyDescent="0.25"/>
  <cols>
    <col min="1" max="1" width="12" style="24" bestFit="1" customWidth="1"/>
    <col min="2" max="2" width="16.42578125" style="24" bestFit="1" customWidth="1"/>
    <col min="3" max="3" width="16.28515625" style="24" bestFit="1" customWidth="1"/>
    <col min="4" max="4" width="13.28515625" style="24" bestFit="1" customWidth="1"/>
    <col min="5" max="6" width="10.42578125" style="24" bestFit="1" customWidth="1"/>
    <col min="7" max="7" width="9.5703125" style="24" hidden="1" customWidth="1"/>
    <col min="8" max="8" width="10.42578125" style="24" hidden="1" customWidth="1"/>
    <col min="9" max="9" width="9.5703125" style="25" hidden="1" customWidth="1"/>
    <col min="10" max="10" width="18.28515625" style="24" bestFit="1" customWidth="1"/>
    <col min="11" max="11" width="23.28515625" style="24" bestFit="1" customWidth="1"/>
    <col min="12" max="12" width="30.85546875" bestFit="1" customWidth="1"/>
    <col min="13" max="13" width="51.42578125" bestFit="1" customWidth="1"/>
    <col min="14" max="14" width="28.28515625" bestFit="1" customWidth="1"/>
    <col min="15" max="15" width="21.85546875" bestFit="1" customWidth="1"/>
    <col min="17" max="17" width="6.42578125" bestFit="1" customWidth="1"/>
    <col min="18" max="18" width="21.5703125" bestFit="1" customWidth="1"/>
    <col min="19" max="19" width="13.7109375" bestFit="1" customWidth="1"/>
    <col min="20" max="20" width="12.140625" bestFit="1" customWidth="1"/>
    <col min="21" max="21" width="14.5703125" bestFit="1" customWidth="1"/>
    <col min="22" max="22" width="16.5703125" bestFit="1" customWidth="1"/>
    <col min="23" max="23" width="14.7109375" bestFit="1" customWidth="1"/>
    <col min="24" max="30" width="27.42578125" bestFit="1" customWidth="1"/>
    <col min="31" max="32" width="13.7109375" bestFit="1" customWidth="1"/>
    <col min="33" max="33" width="19" bestFit="1" customWidth="1"/>
    <col min="34" max="34" width="18.7109375" bestFit="1" customWidth="1"/>
  </cols>
  <sheetData>
    <row r="1" spans="1:16" x14ac:dyDescent="0.25">
      <c r="A1" s="6" t="s">
        <v>127</v>
      </c>
      <c r="B1" s="7" t="s">
        <v>126</v>
      </c>
      <c r="C1" s="7" t="s">
        <v>136</v>
      </c>
      <c r="D1" s="7" t="s">
        <v>125</v>
      </c>
      <c r="E1" s="7" t="s">
        <v>128</v>
      </c>
      <c r="F1" s="7" t="s">
        <v>158</v>
      </c>
      <c r="G1" s="7" t="s">
        <v>130</v>
      </c>
      <c r="H1" s="7" t="s">
        <v>131</v>
      </c>
      <c r="I1" s="8" t="s">
        <v>132</v>
      </c>
      <c r="J1" s="7" t="s">
        <v>164</v>
      </c>
      <c r="K1" s="7" t="s">
        <v>187</v>
      </c>
      <c r="L1" s="7" t="s">
        <v>134</v>
      </c>
      <c r="M1" s="7" t="s">
        <v>186</v>
      </c>
      <c r="N1" s="7" t="s">
        <v>123</v>
      </c>
      <c r="O1" s="7" t="s">
        <v>124</v>
      </c>
      <c r="P1" s="26" t="s">
        <v>184</v>
      </c>
    </row>
    <row r="2" spans="1:16" x14ac:dyDescent="0.25">
      <c r="A2" s="10" t="s">
        <v>143</v>
      </c>
      <c r="B2" s="10" t="s">
        <v>137</v>
      </c>
      <c r="C2" s="10" t="s">
        <v>148</v>
      </c>
      <c r="D2" s="10" t="s">
        <v>153</v>
      </c>
      <c r="E2" s="11">
        <v>45658</v>
      </c>
      <c r="F2" s="11">
        <v>45869</v>
      </c>
      <c r="G2" s="10">
        <f>+'20'!$F2-'20'!$E2</f>
        <v>211</v>
      </c>
      <c r="H2" s="10">
        <f t="shared" ref="H2:H9" ca="1" si="0">+TODAY()</f>
        <v>45817</v>
      </c>
      <c r="I2" s="10">
        <f ca="1">+'20'!$H2-'20'!$E2</f>
        <v>159</v>
      </c>
      <c r="J2" s="33">
        <f ca="1">+'20'!$I2/'20'!$G2</f>
        <v>0.75355450236966826</v>
      </c>
      <c r="K2" s="33" t="s">
        <v>188</v>
      </c>
      <c r="L2" s="10"/>
      <c r="M2" s="10"/>
      <c r="N2" s="10"/>
      <c r="O2" s="10"/>
      <c r="P2" s="10"/>
    </row>
    <row r="3" spans="1:16" x14ac:dyDescent="0.25">
      <c r="A3" s="12" t="s">
        <v>144</v>
      </c>
      <c r="B3" s="17" t="s">
        <v>138</v>
      </c>
      <c r="C3" s="13" t="s">
        <v>148</v>
      </c>
      <c r="D3" s="13" t="s">
        <v>154</v>
      </c>
      <c r="E3" s="14">
        <v>45659</v>
      </c>
      <c r="F3" s="14">
        <v>45870</v>
      </c>
      <c r="G3" s="15">
        <f>+'20'!$F3-'20'!$E3</f>
        <v>211</v>
      </c>
      <c r="H3" s="14">
        <f t="shared" ca="1" si="0"/>
        <v>45817</v>
      </c>
      <c r="I3" s="15">
        <f ca="1">+'20'!$H3-'20'!$E3</f>
        <v>158</v>
      </c>
      <c r="J3" s="16">
        <f ca="1">+'20'!$I3/'20'!$G3</f>
        <v>0.74881516587677721</v>
      </c>
      <c r="K3" s="34" t="s">
        <v>189</v>
      </c>
      <c r="M3" s="12"/>
      <c r="N3" s="17"/>
      <c r="O3" s="13"/>
      <c r="P3" s="13"/>
    </row>
    <row r="4" spans="1:16" x14ac:dyDescent="0.25">
      <c r="A4" s="10" t="s">
        <v>145</v>
      </c>
      <c r="B4" s="10" t="s">
        <v>139</v>
      </c>
      <c r="C4" s="10" t="s">
        <v>175</v>
      </c>
      <c r="D4" s="10" t="s">
        <v>155</v>
      </c>
      <c r="E4" s="11">
        <v>45660</v>
      </c>
      <c r="F4" s="11">
        <v>45871</v>
      </c>
      <c r="G4" s="10">
        <f>+'20'!$F4-'20'!$E4</f>
        <v>211</v>
      </c>
      <c r="H4" s="10">
        <f t="shared" ca="1" si="0"/>
        <v>45817</v>
      </c>
      <c r="I4" s="10">
        <f ca="1">+'20'!$H4-'20'!$E4</f>
        <v>157</v>
      </c>
      <c r="J4" s="33">
        <f ca="1">+'20'!$I4/'20'!$G4</f>
        <v>0.74407582938388628</v>
      </c>
      <c r="K4" s="33" t="s">
        <v>190</v>
      </c>
      <c r="L4" s="10"/>
      <c r="M4" s="10"/>
      <c r="N4" s="10"/>
      <c r="O4" s="10"/>
      <c r="P4" s="10"/>
    </row>
    <row r="5" spans="1:16" x14ac:dyDescent="0.25">
      <c r="A5" s="12" t="s">
        <v>146</v>
      </c>
      <c r="B5" s="17" t="s">
        <v>140</v>
      </c>
      <c r="C5" s="13" t="s">
        <v>150</v>
      </c>
      <c r="D5" s="13" t="s">
        <v>155</v>
      </c>
      <c r="E5" s="14">
        <v>45661</v>
      </c>
      <c r="F5" s="14">
        <v>45872</v>
      </c>
      <c r="G5" s="15">
        <f>+'20'!$F5-'20'!$E5</f>
        <v>211</v>
      </c>
      <c r="H5" s="14">
        <f t="shared" ca="1" si="0"/>
        <v>45817</v>
      </c>
      <c r="I5" s="15">
        <f ca="1">+'20'!$H5-'20'!$E5</f>
        <v>156</v>
      </c>
      <c r="J5" s="16">
        <f ca="1">+'20'!$I5/'20'!$G5</f>
        <v>0.73933649289099523</v>
      </c>
      <c r="K5" s="34" t="s">
        <v>191</v>
      </c>
      <c r="M5" s="12"/>
      <c r="N5" s="17"/>
      <c r="O5" s="13"/>
      <c r="P5" s="13"/>
    </row>
    <row r="6" spans="1:16" x14ac:dyDescent="0.25">
      <c r="A6" s="10" t="s">
        <v>129</v>
      </c>
      <c r="B6" s="10" t="s">
        <v>141</v>
      </c>
      <c r="C6" s="10" t="s">
        <v>151</v>
      </c>
      <c r="D6" s="10" t="s">
        <v>156</v>
      </c>
      <c r="E6" s="11">
        <v>45662</v>
      </c>
      <c r="F6" s="11">
        <v>45873</v>
      </c>
      <c r="G6" s="10">
        <f>+'20'!$F6-'20'!$E6</f>
        <v>211</v>
      </c>
      <c r="H6" s="10">
        <f t="shared" ca="1" si="0"/>
        <v>45817</v>
      </c>
      <c r="I6" s="10">
        <f ca="1">+'20'!$H6-'20'!$E6</f>
        <v>155</v>
      </c>
      <c r="J6" s="33">
        <f ca="1">+'20'!$I6/'20'!$G6</f>
        <v>0.7345971563981043</v>
      </c>
      <c r="K6" s="33" t="s">
        <v>192</v>
      </c>
      <c r="L6" s="10"/>
      <c r="M6" s="10"/>
      <c r="N6" s="10"/>
      <c r="O6" s="10"/>
      <c r="P6" s="10"/>
    </row>
    <row r="7" spans="1:16" x14ac:dyDescent="0.25">
      <c r="A7" s="12" t="s">
        <v>147</v>
      </c>
      <c r="B7" s="17" t="s">
        <v>142</v>
      </c>
      <c r="C7" s="13" t="s">
        <v>152</v>
      </c>
      <c r="D7" s="13" t="s">
        <v>157</v>
      </c>
      <c r="E7" s="14">
        <v>45663</v>
      </c>
      <c r="F7" s="14">
        <v>45874</v>
      </c>
      <c r="G7" s="15">
        <f>+'20'!$F7-'20'!$E7</f>
        <v>211</v>
      </c>
      <c r="H7" s="14">
        <f t="shared" ca="1" si="0"/>
        <v>45817</v>
      </c>
      <c r="I7" s="15">
        <f ca="1">+'20'!$H7-'20'!$E7</f>
        <v>154</v>
      </c>
      <c r="J7" s="16">
        <f ca="1">+'20'!$I7/'20'!$G7</f>
        <v>0.72985781990521326</v>
      </c>
      <c r="K7" s="34" t="s">
        <v>193</v>
      </c>
      <c r="M7" s="12"/>
      <c r="N7" s="17"/>
      <c r="O7" s="13"/>
      <c r="P7" s="13"/>
    </row>
    <row r="8" spans="1:16" x14ac:dyDescent="0.25">
      <c r="A8" s="10" t="s">
        <v>162</v>
      </c>
      <c r="B8" s="10" t="s">
        <v>159</v>
      </c>
      <c r="C8" s="10" t="s">
        <v>161</v>
      </c>
      <c r="D8" s="10" t="s">
        <v>163</v>
      </c>
      <c r="E8" s="11">
        <v>45664</v>
      </c>
      <c r="F8" s="11">
        <v>45875</v>
      </c>
      <c r="G8" s="10">
        <f>+'20'!$F8-'20'!$E8</f>
        <v>211</v>
      </c>
      <c r="H8" s="10">
        <f t="shared" ca="1" si="0"/>
        <v>45817</v>
      </c>
      <c r="I8" s="10">
        <f ca="1">+'20'!$H8-'20'!$E8</f>
        <v>153</v>
      </c>
      <c r="J8" s="33">
        <f ca="1">+'20'!$I8/'20'!$G8</f>
        <v>0.72511848341232232</v>
      </c>
      <c r="K8" s="33" t="s">
        <v>194</v>
      </c>
      <c r="L8" s="10"/>
      <c r="M8" s="10"/>
      <c r="N8" s="10"/>
      <c r="O8" s="10"/>
      <c r="P8" s="10"/>
    </row>
    <row r="9" spans="1:16" x14ac:dyDescent="0.25">
      <c r="A9" s="12" t="s">
        <v>165</v>
      </c>
      <c r="B9" s="17" t="s">
        <v>160</v>
      </c>
      <c r="C9" s="13" t="s">
        <v>161</v>
      </c>
      <c r="D9" s="13" t="s">
        <v>163</v>
      </c>
      <c r="E9" s="14">
        <v>45665</v>
      </c>
      <c r="F9" s="14">
        <v>45876</v>
      </c>
      <c r="G9" s="15">
        <f>+'20'!$F9-'20'!$E9</f>
        <v>211</v>
      </c>
      <c r="H9" s="14">
        <f t="shared" ca="1" si="0"/>
        <v>45817</v>
      </c>
      <c r="I9" s="15">
        <f ca="1">+'20'!$H9-'20'!$E9</f>
        <v>152</v>
      </c>
      <c r="J9" s="16">
        <f ca="1">+'20'!$I9/'20'!$G9</f>
        <v>0.72037914691943128</v>
      </c>
      <c r="K9" s="34" t="s">
        <v>195</v>
      </c>
      <c r="M9" s="12"/>
      <c r="N9" s="17"/>
      <c r="O9" s="13"/>
      <c r="P9" s="13"/>
    </row>
    <row r="10" spans="1:16" x14ac:dyDescent="0.25">
      <c r="A10" s="10" t="s">
        <v>143</v>
      </c>
      <c r="B10" s="10"/>
      <c r="C10" s="10"/>
      <c r="D10" s="10"/>
      <c r="E10" s="11"/>
      <c r="F10" s="11"/>
      <c r="G10" s="10"/>
      <c r="H10" s="10"/>
      <c r="I10" s="10"/>
      <c r="J10" s="33"/>
      <c r="K10" s="33"/>
      <c r="L10" s="10" t="s">
        <v>0</v>
      </c>
      <c r="M10" s="10"/>
      <c r="N10" s="10"/>
      <c r="O10" s="10"/>
      <c r="P10" s="10"/>
    </row>
    <row r="11" spans="1:16" x14ac:dyDescent="0.25">
      <c r="A11" s="12" t="s">
        <v>143</v>
      </c>
      <c r="B11" s="17"/>
      <c r="C11" s="13"/>
      <c r="D11" s="13"/>
      <c r="E11" s="14"/>
      <c r="F11" s="14"/>
      <c r="G11" s="15"/>
      <c r="H11" s="14"/>
      <c r="I11" s="15"/>
      <c r="J11" s="16"/>
      <c r="K11" s="34"/>
      <c r="L11" t="s">
        <v>1</v>
      </c>
      <c r="M11" s="12"/>
      <c r="N11" s="17"/>
      <c r="O11" s="13"/>
      <c r="P11" s="13"/>
    </row>
    <row r="12" spans="1:16" x14ac:dyDescent="0.25">
      <c r="A12" s="10" t="s">
        <v>143</v>
      </c>
      <c r="B12" s="10"/>
      <c r="C12" s="10"/>
      <c r="D12" s="10"/>
      <c r="E12" s="11"/>
      <c r="F12" s="11"/>
      <c r="G12" s="10"/>
      <c r="H12" s="10"/>
      <c r="I12" s="10"/>
      <c r="J12" s="33"/>
      <c r="K12" s="33"/>
      <c r="L12" s="10" t="s">
        <v>3</v>
      </c>
      <c r="M12" s="10"/>
      <c r="N12" s="10"/>
      <c r="O12" s="10"/>
      <c r="P12" s="10"/>
    </row>
    <row r="13" spans="1:16" x14ac:dyDescent="0.25">
      <c r="A13" s="12" t="s">
        <v>143</v>
      </c>
      <c r="B13" s="17"/>
      <c r="C13" s="13"/>
      <c r="D13" s="13"/>
      <c r="E13" s="14"/>
      <c r="F13" s="14"/>
      <c r="G13" s="15"/>
      <c r="H13" s="14"/>
      <c r="I13" s="15"/>
      <c r="J13" s="16"/>
      <c r="K13" s="34"/>
      <c r="L13" t="s">
        <v>3</v>
      </c>
      <c r="M13" s="12"/>
      <c r="N13" s="17"/>
      <c r="O13" s="13"/>
      <c r="P13" s="13"/>
    </row>
    <row r="14" spans="1:16" x14ac:dyDescent="0.25">
      <c r="A14" s="10" t="s">
        <v>143</v>
      </c>
      <c r="B14" s="10"/>
      <c r="C14" s="10"/>
      <c r="D14" s="10"/>
      <c r="E14" s="11"/>
      <c r="F14" s="11"/>
      <c r="G14" s="10"/>
      <c r="H14" s="10"/>
      <c r="I14" s="10"/>
      <c r="J14" s="33"/>
      <c r="K14" s="33"/>
      <c r="L14" s="10" t="s">
        <v>5</v>
      </c>
      <c r="M14" s="10"/>
      <c r="N14" s="10"/>
      <c r="O14" s="10"/>
      <c r="P14" s="10"/>
    </row>
    <row r="15" spans="1:16" x14ac:dyDescent="0.25">
      <c r="A15" s="12" t="s">
        <v>144</v>
      </c>
      <c r="B15" s="17"/>
      <c r="C15" s="13"/>
      <c r="D15" s="13"/>
      <c r="E15" s="14"/>
      <c r="F15" s="14"/>
      <c r="G15" s="15"/>
      <c r="H15" s="14"/>
      <c r="I15" s="15"/>
      <c r="J15" s="16"/>
      <c r="K15" s="34"/>
      <c r="L15" t="s">
        <v>6</v>
      </c>
      <c r="M15" s="12"/>
      <c r="N15" s="17"/>
      <c r="O15" s="13"/>
      <c r="P15" s="13"/>
    </row>
    <row r="16" spans="1:16" x14ac:dyDescent="0.25">
      <c r="A16" s="10" t="s">
        <v>145</v>
      </c>
      <c r="B16" s="10"/>
      <c r="C16" s="10"/>
      <c r="D16" s="10"/>
      <c r="E16" s="11"/>
      <c r="F16" s="11"/>
      <c r="G16" s="10"/>
      <c r="H16" s="10"/>
      <c r="I16" s="10"/>
      <c r="J16" s="33"/>
      <c r="K16" s="33"/>
      <c r="L16" s="10" t="s">
        <v>7</v>
      </c>
      <c r="M16" s="10"/>
      <c r="N16" s="10"/>
      <c r="O16" s="10"/>
      <c r="P16" s="10"/>
    </row>
    <row r="17" spans="1:16" x14ac:dyDescent="0.25">
      <c r="A17" s="12" t="s">
        <v>146</v>
      </c>
      <c r="B17" s="17"/>
      <c r="C17" s="13"/>
      <c r="D17" s="13"/>
      <c r="E17" s="14"/>
      <c r="F17" s="14"/>
      <c r="G17" s="15"/>
      <c r="H17" s="14"/>
      <c r="I17" s="15"/>
      <c r="J17" s="16"/>
      <c r="K17" s="34"/>
      <c r="L17" t="s">
        <v>8</v>
      </c>
      <c r="M17" s="12"/>
      <c r="N17" s="17"/>
      <c r="O17" s="13"/>
      <c r="P17" s="13"/>
    </row>
    <row r="18" spans="1:16" x14ac:dyDescent="0.25">
      <c r="A18" s="10" t="s">
        <v>129</v>
      </c>
      <c r="B18" s="10"/>
      <c r="C18" s="10"/>
      <c r="D18" s="10"/>
      <c r="E18" s="11"/>
      <c r="F18" s="11"/>
      <c r="G18" s="10"/>
      <c r="H18" s="10"/>
      <c r="I18" s="10"/>
      <c r="J18" s="33"/>
      <c r="K18" s="33"/>
      <c r="L18" s="10" t="s">
        <v>9</v>
      </c>
      <c r="M18" s="10"/>
      <c r="N18" s="10"/>
      <c r="O18" s="10"/>
      <c r="P18" s="10"/>
    </row>
    <row r="19" spans="1:16" x14ac:dyDescent="0.25">
      <c r="A19" s="12" t="s">
        <v>144</v>
      </c>
      <c r="B19" s="17"/>
      <c r="C19" s="13"/>
      <c r="D19" s="13"/>
      <c r="E19" s="14"/>
      <c r="F19" s="14"/>
      <c r="G19" s="15"/>
      <c r="H19" s="14"/>
      <c r="I19" s="15"/>
      <c r="J19" s="16"/>
      <c r="K19" s="34"/>
      <c r="L19" t="s">
        <v>11</v>
      </c>
      <c r="M19" s="12"/>
      <c r="N19" s="17"/>
      <c r="O19" s="13"/>
      <c r="P19" s="13"/>
    </row>
    <row r="20" spans="1:16" x14ac:dyDescent="0.25">
      <c r="A20" s="10" t="s">
        <v>145</v>
      </c>
      <c r="B20" s="10"/>
      <c r="C20" s="10"/>
      <c r="D20" s="10"/>
      <c r="E20" s="11"/>
      <c r="F20" s="11"/>
      <c r="G20" s="10"/>
      <c r="H20" s="10"/>
      <c r="I20" s="10"/>
      <c r="J20" s="33"/>
      <c r="K20" s="33"/>
      <c r="L20" s="10" t="s">
        <v>12</v>
      </c>
      <c r="M20" s="10"/>
      <c r="N20" s="10"/>
      <c r="O20" s="10"/>
      <c r="P20" s="10"/>
    </row>
    <row r="21" spans="1:16" x14ac:dyDescent="0.25">
      <c r="A21" s="12" t="s">
        <v>146</v>
      </c>
      <c r="B21" s="17"/>
      <c r="C21" s="13"/>
      <c r="D21" s="13"/>
      <c r="E21" s="14"/>
      <c r="F21" s="14"/>
      <c r="G21" s="15"/>
      <c r="H21" s="14"/>
      <c r="I21" s="15"/>
      <c r="J21" s="16"/>
      <c r="K21" s="34"/>
      <c r="L21" t="s">
        <v>14</v>
      </c>
      <c r="M21" s="12"/>
      <c r="N21" s="17"/>
      <c r="O21" s="13"/>
      <c r="P21" s="13"/>
    </row>
    <row r="22" spans="1:16" x14ac:dyDescent="0.25">
      <c r="A22" s="10" t="s">
        <v>129</v>
      </c>
      <c r="B22" s="10"/>
      <c r="C22" s="10"/>
      <c r="D22" s="10"/>
      <c r="E22" s="11"/>
      <c r="F22" s="11"/>
      <c r="G22" s="10"/>
      <c r="H22" s="10"/>
      <c r="I22" s="10"/>
      <c r="J22" s="33"/>
      <c r="K22" s="33"/>
      <c r="L22" s="10" t="s">
        <v>15</v>
      </c>
      <c r="M22" s="10"/>
      <c r="N22" s="10"/>
      <c r="O22" s="10"/>
      <c r="P22" s="10"/>
    </row>
    <row r="23" spans="1:16" x14ac:dyDescent="0.25">
      <c r="A23" s="12" t="s">
        <v>147</v>
      </c>
      <c r="B23" s="17"/>
      <c r="C23" s="13"/>
      <c r="D23" s="13"/>
      <c r="E23" s="14"/>
      <c r="F23" s="14"/>
      <c r="G23" s="15"/>
      <c r="H23" s="14"/>
      <c r="I23" s="15"/>
      <c r="J23" s="16"/>
      <c r="K23" s="34"/>
      <c r="L23" t="s">
        <v>17</v>
      </c>
      <c r="M23" s="12"/>
      <c r="N23" s="17"/>
      <c r="O23" s="13"/>
      <c r="P23" s="13"/>
    </row>
    <row r="24" spans="1:16" x14ac:dyDescent="0.25">
      <c r="A24" s="10" t="s">
        <v>162</v>
      </c>
      <c r="B24" s="10"/>
      <c r="C24" s="10"/>
      <c r="D24" s="10"/>
      <c r="E24" s="11"/>
      <c r="F24" s="11"/>
      <c r="G24" s="10"/>
      <c r="H24" s="10"/>
      <c r="I24" s="10"/>
      <c r="J24" s="33"/>
      <c r="K24" s="33"/>
      <c r="L24" s="10" t="s">
        <v>18</v>
      </c>
      <c r="M24" s="10"/>
      <c r="N24" s="10"/>
      <c r="O24" s="10"/>
      <c r="P24" s="10"/>
    </row>
    <row r="25" spans="1:16" x14ac:dyDescent="0.25">
      <c r="A25" s="12" t="s">
        <v>165</v>
      </c>
      <c r="B25" s="17"/>
      <c r="C25" s="13"/>
      <c r="D25" s="13"/>
      <c r="E25" s="14"/>
      <c r="F25" s="14"/>
      <c r="G25" s="15"/>
      <c r="H25" s="14"/>
      <c r="I25" s="15"/>
      <c r="J25" s="16"/>
      <c r="K25" s="34"/>
      <c r="L25" t="s">
        <v>19</v>
      </c>
      <c r="M25" s="12"/>
      <c r="N25" s="17"/>
      <c r="O25" s="13"/>
      <c r="P25" s="13"/>
    </row>
    <row r="26" spans="1:16" x14ac:dyDescent="0.25">
      <c r="A26" s="10" t="s">
        <v>143</v>
      </c>
      <c r="B26" s="10"/>
      <c r="C26" s="10"/>
      <c r="D26" s="10"/>
      <c r="E26" s="11"/>
      <c r="F26" s="11"/>
      <c r="G26" s="10"/>
      <c r="H26" s="10"/>
      <c r="I26" s="10"/>
      <c r="J26" s="33"/>
      <c r="K26" s="33"/>
      <c r="L26" s="10" t="s">
        <v>21</v>
      </c>
      <c r="M26" s="10"/>
      <c r="N26" s="10"/>
      <c r="O26" s="10"/>
      <c r="P26" s="10"/>
    </row>
    <row r="27" spans="1:16" x14ac:dyDescent="0.25">
      <c r="A27" s="12" t="s">
        <v>144</v>
      </c>
      <c r="B27" s="17"/>
      <c r="C27" s="13"/>
      <c r="D27" s="13"/>
      <c r="E27" s="14"/>
      <c r="F27" s="14"/>
      <c r="G27" s="15"/>
      <c r="H27" s="14"/>
      <c r="I27" s="15"/>
      <c r="J27" s="16"/>
      <c r="K27" s="34"/>
      <c r="L27" t="s">
        <v>22</v>
      </c>
      <c r="M27" s="12"/>
      <c r="N27" s="17"/>
      <c r="O27" s="13"/>
      <c r="P27" s="13"/>
    </row>
    <row r="28" spans="1:16" x14ac:dyDescent="0.25">
      <c r="A28" s="10" t="s">
        <v>145</v>
      </c>
      <c r="B28" s="10"/>
      <c r="C28" s="10"/>
      <c r="D28" s="10"/>
      <c r="E28" s="11"/>
      <c r="F28" s="11"/>
      <c r="G28" s="10"/>
      <c r="H28" s="10"/>
      <c r="I28" s="10"/>
      <c r="J28" s="33"/>
      <c r="K28" s="33"/>
      <c r="L28" s="10" t="s">
        <v>24</v>
      </c>
      <c r="M28" s="10"/>
      <c r="N28" s="10"/>
      <c r="O28" s="10"/>
      <c r="P28" s="10"/>
    </row>
    <row r="29" spans="1:16" x14ac:dyDescent="0.25">
      <c r="A29" s="12" t="s">
        <v>146</v>
      </c>
      <c r="B29" s="17"/>
      <c r="C29" s="13"/>
      <c r="D29" s="13"/>
      <c r="E29" s="14"/>
      <c r="F29" s="14"/>
      <c r="G29" s="15"/>
      <c r="H29" s="14"/>
      <c r="I29" s="15"/>
      <c r="J29" s="16"/>
      <c r="K29" s="34"/>
      <c r="L29" t="s">
        <v>26</v>
      </c>
      <c r="M29" s="12"/>
      <c r="N29" s="17"/>
      <c r="O29" s="13"/>
      <c r="P29" s="13"/>
    </row>
    <row r="30" spans="1:16" x14ac:dyDescent="0.25">
      <c r="A30" s="10" t="s">
        <v>129</v>
      </c>
      <c r="B30" s="10"/>
      <c r="C30" s="10"/>
      <c r="D30" s="10"/>
      <c r="E30" s="11"/>
      <c r="F30" s="11"/>
      <c r="G30" s="10"/>
      <c r="H30" s="10"/>
      <c r="I30" s="10"/>
      <c r="J30" s="33"/>
      <c r="K30" s="33"/>
      <c r="L30" s="10" t="s">
        <v>28</v>
      </c>
      <c r="M30" s="10"/>
      <c r="N30" s="10"/>
      <c r="O30" s="10"/>
      <c r="P30" s="10"/>
    </row>
    <row r="31" spans="1:16" x14ac:dyDescent="0.25">
      <c r="A31" s="12" t="s">
        <v>147</v>
      </c>
      <c r="B31" s="17"/>
      <c r="C31" s="13"/>
      <c r="D31" s="13"/>
      <c r="E31" s="14"/>
      <c r="F31" s="14"/>
      <c r="G31" s="15"/>
      <c r="H31" s="14"/>
      <c r="I31" s="15"/>
      <c r="J31" s="16"/>
      <c r="K31" s="34"/>
      <c r="L31" t="s">
        <v>30</v>
      </c>
      <c r="M31" s="12"/>
      <c r="N31" s="17"/>
      <c r="O31" s="13"/>
      <c r="P31" s="13"/>
    </row>
    <row r="32" spans="1:16" x14ac:dyDescent="0.25">
      <c r="A32" s="10" t="s">
        <v>162</v>
      </c>
      <c r="B32" s="10"/>
      <c r="C32" s="10"/>
      <c r="D32" s="10"/>
      <c r="E32" s="11"/>
      <c r="F32" s="11"/>
      <c r="G32" s="10"/>
      <c r="H32" s="10"/>
      <c r="I32" s="10"/>
      <c r="J32" s="33"/>
      <c r="K32" s="33"/>
      <c r="L32" s="10" t="s">
        <v>32</v>
      </c>
      <c r="M32" s="10"/>
      <c r="N32" s="10"/>
      <c r="O32" s="10"/>
      <c r="P32" s="10"/>
    </row>
    <row r="33" spans="1:16" x14ac:dyDescent="0.25">
      <c r="A33" s="12" t="s">
        <v>165</v>
      </c>
      <c r="B33" s="17"/>
      <c r="C33" s="13"/>
      <c r="D33" s="13"/>
      <c r="E33" s="14"/>
      <c r="F33" s="14"/>
      <c r="G33" s="15"/>
      <c r="H33" s="14"/>
      <c r="I33" s="15"/>
      <c r="J33" s="16"/>
      <c r="K33" s="34"/>
      <c r="L33" t="s">
        <v>33</v>
      </c>
      <c r="M33" s="12"/>
      <c r="N33" s="17"/>
      <c r="O33" s="13"/>
      <c r="P33" s="13"/>
    </row>
    <row r="34" spans="1:16" x14ac:dyDescent="0.25">
      <c r="A34" s="10" t="s">
        <v>143</v>
      </c>
      <c r="B34" s="10"/>
      <c r="C34" s="10"/>
      <c r="D34" s="10"/>
      <c r="E34" s="11"/>
      <c r="F34" s="11"/>
      <c r="G34" s="10"/>
      <c r="H34" s="10"/>
      <c r="I34" s="10"/>
      <c r="J34" s="33"/>
      <c r="K34" s="33"/>
      <c r="L34" s="10" t="s">
        <v>35</v>
      </c>
      <c r="M34" s="10"/>
      <c r="N34" s="10"/>
      <c r="O34" s="10"/>
      <c r="P34" s="10"/>
    </row>
    <row r="35" spans="1:16" x14ac:dyDescent="0.25">
      <c r="A35" s="12" t="s">
        <v>144</v>
      </c>
      <c r="B35" s="17"/>
      <c r="C35" s="13"/>
      <c r="D35" s="13"/>
      <c r="E35" s="14"/>
      <c r="F35" s="14"/>
      <c r="G35" s="15"/>
      <c r="H35" s="14"/>
      <c r="I35" s="15"/>
      <c r="J35" s="16"/>
      <c r="K35" s="34"/>
      <c r="L35" t="s">
        <v>37</v>
      </c>
      <c r="M35" s="12"/>
      <c r="N35" s="17"/>
      <c r="O35" s="13"/>
      <c r="P35" s="13"/>
    </row>
    <row r="36" spans="1:16" x14ac:dyDescent="0.25">
      <c r="A36" s="10" t="s">
        <v>145</v>
      </c>
      <c r="B36" s="10"/>
      <c r="C36" s="10"/>
      <c r="D36" s="10"/>
      <c r="E36" s="11"/>
      <c r="F36" s="11"/>
      <c r="G36" s="10"/>
      <c r="H36" s="10"/>
      <c r="I36" s="10"/>
      <c r="J36" s="33"/>
      <c r="K36" s="33"/>
      <c r="L36" s="10" t="s">
        <v>38</v>
      </c>
      <c r="M36" s="10"/>
      <c r="N36" s="10"/>
      <c r="O36" s="10"/>
      <c r="P36" s="10"/>
    </row>
    <row r="37" spans="1:16" x14ac:dyDescent="0.25">
      <c r="A37" s="12" t="s">
        <v>146</v>
      </c>
      <c r="B37" s="17"/>
      <c r="C37" s="13"/>
      <c r="D37" s="13"/>
      <c r="E37" s="14"/>
      <c r="F37" s="14"/>
      <c r="G37" s="15"/>
      <c r="H37" s="14"/>
      <c r="I37" s="15"/>
      <c r="J37" s="16"/>
      <c r="K37" s="34"/>
      <c r="L37" t="s">
        <v>40</v>
      </c>
      <c r="M37" s="12"/>
      <c r="N37" s="17"/>
      <c r="O37" s="13"/>
      <c r="P37" s="13"/>
    </row>
    <row r="38" spans="1:16" x14ac:dyDescent="0.25">
      <c r="A38" s="10" t="s">
        <v>129</v>
      </c>
      <c r="B38" s="10"/>
      <c r="C38" s="10"/>
      <c r="D38" s="10"/>
      <c r="E38" s="11"/>
      <c r="F38" s="11"/>
      <c r="G38" s="10"/>
      <c r="H38" s="10"/>
      <c r="I38" s="10"/>
      <c r="J38" s="33"/>
      <c r="K38" s="33"/>
      <c r="L38" s="10" t="s">
        <v>42</v>
      </c>
      <c r="M38" s="10"/>
      <c r="N38" s="10"/>
      <c r="O38" s="10"/>
      <c r="P38" s="10"/>
    </row>
    <row r="39" spans="1:16" x14ac:dyDescent="0.25">
      <c r="A39" s="12" t="s">
        <v>147</v>
      </c>
      <c r="B39" s="17"/>
      <c r="C39" s="13"/>
      <c r="D39" s="13"/>
      <c r="E39" s="14"/>
      <c r="F39" s="14"/>
      <c r="G39" s="15"/>
      <c r="H39" s="14"/>
      <c r="I39" s="15"/>
      <c r="J39" s="16"/>
      <c r="K39" s="34"/>
      <c r="L39" t="s">
        <v>43</v>
      </c>
      <c r="M39" s="12"/>
      <c r="N39" s="17"/>
      <c r="O39" s="13"/>
      <c r="P39" s="13"/>
    </row>
    <row r="40" spans="1:16" x14ac:dyDescent="0.25">
      <c r="A40" s="10" t="s">
        <v>162</v>
      </c>
      <c r="B40" s="10"/>
      <c r="C40" s="10"/>
      <c r="D40" s="10"/>
      <c r="E40" s="11"/>
      <c r="F40" s="11"/>
      <c r="G40" s="10"/>
      <c r="H40" s="10"/>
      <c r="I40" s="10"/>
      <c r="J40" s="33"/>
      <c r="K40" s="33"/>
      <c r="L40" s="10" t="s">
        <v>45</v>
      </c>
      <c r="M40" s="10"/>
      <c r="N40" s="10"/>
      <c r="O40" s="10"/>
      <c r="P40" s="10"/>
    </row>
    <row r="41" spans="1:16" x14ac:dyDescent="0.25">
      <c r="A41" s="12" t="s">
        <v>165</v>
      </c>
      <c r="B41" s="17"/>
      <c r="C41" s="13"/>
      <c r="D41" s="13"/>
      <c r="E41" s="14"/>
      <c r="F41" s="14"/>
      <c r="G41" s="15"/>
      <c r="H41" s="14"/>
      <c r="I41" s="15"/>
      <c r="J41" s="16"/>
      <c r="K41" s="34"/>
      <c r="L41" t="s">
        <v>47</v>
      </c>
      <c r="M41" s="12"/>
      <c r="N41" s="17"/>
      <c r="O41" s="13"/>
      <c r="P41" s="13"/>
    </row>
    <row r="42" spans="1:16" x14ac:dyDescent="0.25">
      <c r="A42" s="10" t="s">
        <v>143</v>
      </c>
      <c r="B42" s="10"/>
      <c r="C42" s="10"/>
      <c r="D42" s="10"/>
      <c r="E42" s="11"/>
      <c r="F42" s="11"/>
      <c r="G42" s="10"/>
      <c r="H42" s="10"/>
      <c r="I42" s="10"/>
      <c r="J42" s="33"/>
      <c r="K42" s="33"/>
      <c r="L42" s="10" t="s">
        <v>49</v>
      </c>
      <c r="M42" s="10"/>
      <c r="N42" s="10"/>
      <c r="O42" s="10"/>
      <c r="P42" s="10"/>
    </row>
    <row r="43" spans="1:16" x14ac:dyDescent="0.25">
      <c r="A43" s="12" t="s">
        <v>144</v>
      </c>
      <c r="B43" s="17"/>
      <c r="C43" s="13"/>
      <c r="D43" s="13"/>
      <c r="E43" s="14"/>
      <c r="F43" s="14"/>
      <c r="G43" s="15"/>
      <c r="H43" s="14"/>
      <c r="I43" s="15"/>
      <c r="J43" s="16"/>
      <c r="K43" s="34"/>
      <c r="L43" t="s">
        <v>51</v>
      </c>
      <c r="M43" s="12"/>
      <c r="N43" s="17"/>
      <c r="O43" s="13"/>
      <c r="P43" s="13"/>
    </row>
    <row r="44" spans="1:16" x14ac:dyDescent="0.25">
      <c r="A44" s="10" t="s">
        <v>145</v>
      </c>
      <c r="B44" s="10"/>
      <c r="C44" s="10"/>
      <c r="D44" s="10"/>
      <c r="E44" s="11"/>
      <c r="F44" s="11"/>
      <c r="G44" s="10"/>
      <c r="H44" s="10"/>
      <c r="I44" s="10"/>
      <c r="J44" s="33"/>
      <c r="K44" s="33"/>
      <c r="L44" s="10" t="s">
        <v>53</v>
      </c>
      <c r="M44" s="10"/>
      <c r="N44" s="10"/>
      <c r="O44" s="10"/>
      <c r="P44" s="10"/>
    </row>
    <row r="45" spans="1:16" x14ac:dyDescent="0.25">
      <c r="A45" s="12" t="s">
        <v>146</v>
      </c>
      <c r="B45" s="17"/>
      <c r="C45" s="13"/>
      <c r="D45" s="13"/>
      <c r="E45" s="14"/>
      <c r="F45" s="14"/>
      <c r="G45" s="15"/>
      <c r="H45" s="14"/>
      <c r="I45" s="15"/>
      <c r="J45" s="16"/>
      <c r="K45" s="34"/>
      <c r="L45" t="s">
        <v>54</v>
      </c>
      <c r="M45" s="12"/>
      <c r="N45" s="17"/>
      <c r="O45" s="13"/>
      <c r="P45" s="13"/>
    </row>
    <row r="46" spans="1:16" x14ac:dyDescent="0.25">
      <c r="A46" s="10" t="s">
        <v>129</v>
      </c>
      <c r="B46" s="10"/>
      <c r="C46" s="10"/>
      <c r="D46" s="10"/>
      <c r="E46" s="11"/>
      <c r="F46" s="11"/>
      <c r="G46" s="10"/>
      <c r="H46" s="10"/>
      <c r="I46" s="10"/>
      <c r="J46" s="33"/>
      <c r="K46" s="33"/>
      <c r="L46" s="10" t="s">
        <v>55</v>
      </c>
      <c r="M46" s="10"/>
      <c r="N46" s="10"/>
      <c r="O46" s="10"/>
      <c r="P46" s="10"/>
    </row>
    <row r="47" spans="1:16" x14ac:dyDescent="0.25">
      <c r="A47" s="12" t="s">
        <v>147</v>
      </c>
      <c r="B47" s="17"/>
      <c r="C47" s="13"/>
      <c r="D47" s="13"/>
      <c r="E47" s="14"/>
      <c r="F47" s="14"/>
      <c r="G47" s="15"/>
      <c r="H47" s="14"/>
      <c r="I47" s="15"/>
      <c r="J47" s="16"/>
      <c r="K47" s="34"/>
      <c r="L47" t="s">
        <v>57</v>
      </c>
      <c r="M47" s="12"/>
      <c r="N47" s="17"/>
      <c r="O47" s="13"/>
      <c r="P47" s="13"/>
    </row>
    <row r="48" spans="1:16" x14ac:dyDescent="0.25">
      <c r="A48" s="10" t="s">
        <v>162</v>
      </c>
      <c r="B48" s="10"/>
      <c r="C48" s="10"/>
      <c r="D48" s="10"/>
      <c r="E48" s="11"/>
      <c r="F48" s="11"/>
      <c r="G48" s="10"/>
      <c r="H48" s="10"/>
      <c r="I48" s="10"/>
      <c r="J48" s="33"/>
      <c r="K48" s="33"/>
      <c r="L48" s="10" t="s">
        <v>59</v>
      </c>
      <c r="M48" s="10"/>
      <c r="N48" s="10"/>
      <c r="O48" s="10"/>
      <c r="P48" s="10"/>
    </row>
    <row r="49" spans="1:16" x14ac:dyDescent="0.25">
      <c r="A49" s="12" t="s">
        <v>165</v>
      </c>
      <c r="B49" s="17"/>
      <c r="C49" s="13"/>
      <c r="D49" s="13"/>
      <c r="E49" s="14"/>
      <c r="F49" s="14"/>
      <c r="G49" s="15"/>
      <c r="H49" s="14"/>
      <c r="I49" s="15"/>
      <c r="J49" s="16"/>
      <c r="K49" s="34"/>
      <c r="L49" t="s">
        <v>61</v>
      </c>
      <c r="M49" s="12"/>
      <c r="N49" s="17"/>
      <c r="O49" s="13"/>
      <c r="P49" s="13"/>
    </row>
    <row r="50" spans="1:16" x14ac:dyDescent="0.25">
      <c r="A50" s="10" t="s">
        <v>143</v>
      </c>
      <c r="B50" s="10"/>
      <c r="C50" s="10"/>
      <c r="D50" s="10"/>
      <c r="E50" s="11"/>
      <c r="F50" s="11"/>
      <c r="G50" s="10"/>
      <c r="H50" s="10"/>
      <c r="I50" s="10"/>
      <c r="J50" s="33"/>
      <c r="K50" s="33"/>
      <c r="L50" s="10" t="s">
        <v>62</v>
      </c>
      <c r="M50" s="10"/>
      <c r="N50" s="10"/>
      <c r="O50" s="10"/>
      <c r="P50" s="10"/>
    </row>
    <row r="51" spans="1:16" x14ac:dyDescent="0.25">
      <c r="A51" s="12" t="s">
        <v>144</v>
      </c>
      <c r="B51" s="17"/>
      <c r="C51" s="13"/>
      <c r="D51" s="13"/>
      <c r="E51" s="14"/>
      <c r="F51" s="14"/>
      <c r="G51" s="15"/>
      <c r="H51" s="14"/>
      <c r="I51" s="15"/>
      <c r="J51" s="16"/>
      <c r="K51" s="34"/>
      <c r="L51" t="s">
        <v>63</v>
      </c>
      <c r="M51" s="12"/>
      <c r="N51" s="17"/>
      <c r="O51" s="13"/>
      <c r="P51" s="13"/>
    </row>
    <row r="52" spans="1:16" x14ac:dyDescent="0.25">
      <c r="A52" s="10" t="s">
        <v>145</v>
      </c>
      <c r="B52" s="10"/>
      <c r="C52" s="10"/>
      <c r="D52" s="10"/>
      <c r="E52" s="11"/>
      <c r="F52" s="11"/>
      <c r="G52" s="10"/>
      <c r="H52" s="10"/>
      <c r="I52" s="10"/>
      <c r="J52" s="33"/>
      <c r="K52" s="33"/>
      <c r="L52" s="10" t="s">
        <v>64</v>
      </c>
      <c r="M52" s="10"/>
      <c r="N52" s="10"/>
      <c r="O52" s="10"/>
      <c r="P52" s="10"/>
    </row>
    <row r="53" spans="1:16" x14ac:dyDescent="0.25">
      <c r="A53" s="12" t="s">
        <v>146</v>
      </c>
      <c r="B53" s="17"/>
      <c r="C53" s="13"/>
      <c r="D53" s="13"/>
      <c r="E53" s="14"/>
      <c r="F53" s="14"/>
      <c r="G53" s="15"/>
      <c r="H53" s="14"/>
      <c r="I53" s="15"/>
      <c r="J53" s="16"/>
      <c r="K53" s="34"/>
      <c r="L53" t="s">
        <v>66</v>
      </c>
      <c r="M53" s="12"/>
      <c r="N53" s="17"/>
      <c r="O53" s="13"/>
      <c r="P53" s="13"/>
    </row>
    <row r="54" spans="1:16" x14ac:dyDescent="0.25">
      <c r="A54" s="10" t="s">
        <v>129</v>
      </c>
      <c r="B54" s="10"/>
      <c r="C54" s="10"/>
      <c r="D54" s="10"/>
      <c r="E54" s="11"/>
      <c r="F54" s="11"/>
      <c r="G54" s="10"/>
      <c r="H54" s="10"/>
      <c r="I54" s="10"/>
      <c r="J54" s="33"/>
      <c r="K54" s="33"/>
      <c r="L54" s="10" t="s">
        <v>67</v>
      </c>
      <c r="M54" s="10"/>
      <c r="N54" s="10"/>
      <c r="O54" s="10"/>
      <c r="P54" s="10"/>
    </row>
    <row r="55" spans="1:16" x14ac:dyDescent="0.25">
      <c r="A55" s="12" t="s">
        <v>147</v>
      </c>
      <c r="B55" s="17"/>
      <c r="C55" s="13"/>
      <c r="D55" s="13"/>
      <c r="E55" s="14"/>
      <c r="F55" s="14"/>
      <c r="G55" s="15"/>
      <c r="H55" s="14"/>
      <c r="I55" s="15"/>
      <c r="J55" s="16"/>
      <c r="K55" s="34"/>
      <c r="L55" t="s">
        <v>69</v>
      </c>
      <c r="M55" s="12"/>
      <c r="N55" s="17"/>
      <c r="O55" s="13"/>
      <c r="P55" s="13"/>
    </row>
    <row r="56" spans="1:16" x14ac:dyDescent="0.25">
      <c r="A56" s="10" t="s">
        <v>162</v>
      </c>
      <c r="B56" s="10"/>
      <c r="C56" s="10"/>
      <c r="D56" s="10"/>
      <c r="E56" s="11"/>
      <c r="F56" s="11"/>
      <c r="G56" s="10"/>
      <c r="H56" s="10"/>
      <c r="I56" s="10"/>
      <c r="J56" s="33"/>
      <c r="K56" s="33"/>
      <c r="L56" s="10" t="s">
        <v>70</v>
      </c>
      <c r="M56" s="10"/>
      <c r="N56" s="10"/>
      <c r="O56" s="10"/>
      <c r="P56" s="10"/>
    </row>
    <row r="57" spans="1:16" x14ac:dyDescent="0.25">
      <c r="A57" s="12" t="s">
        <v>165</v>
      </c>
      <c r="B57" s="17"/>
      <c r="C57" s="13"/>
      <c r="D57" s="13"/>
      <c r="E57" s="14"/>
      <c r="F57" s="14"/>
      <c r="G57" s="15"/>
      <c r="H57" s="14"/>
      <c r="I57" s="15"/>
      <c r="J57" s="16"/>
      <c r="K57" s="34"/>
      <c r="L57" t="s">
        <v>71</v>
      </c>
      <c r="M57" s="12"/>
      <c r="N57" s="17"/>
      <c r="O57" s="13"/>
      <c r="P57" s="13"/>
    </row>
    <row r="58" spans="1:16" x14ac:dyDescent="0.25">
      <c r="A58" s="10" t="s">
        <v>143</v>
      </c>
      <c r="B58" s="10"/>
      <c r="C58" s="10"/>
      <c r="D58" s="10"/>
      <c r="E58" s="11"/>
      <c r="F58" s="11"/>
      <c r="G58" s="10"/>
      <c r="H58" s="10"/>
      <c r="I58" s="10"/>
      <c r="J58" s="33"/>
      <c r="K58" s="33"/>
      <c r="L58" s="10"/>
      <c r="M58" s="10"/>
      <c r="N58" s="10" t="s">
        <v>72</v>
      </c>
      <c r="O58" s="10" t="s">
        <v>73</v>
      </c>
      <c r="P58" s="10"/>
    </row>
    <row r="59" spans="1:16" x14ac:dyDescent="0.25">
      <c r="A59" s="12" t="s">
        <v>144</v>
      </c>
      <c r="B59" s="17"/>
      <c r="C59" s="13"/>
      <c r="D59" s="13"/>
      <c r="E59" s="14"/>
      <c r="F59" s="14"/>
      <c r="G59" s="15"/>
      <c r="H59" s="14"/>
      <c r="I59" s="15"/>
      <c r="J59" s="16"/>
      <c r="K59" s="34"/>
      <c r="M59" s="12"/>
      <c r="N59" s="17" t="s">
        <v>74</v>
      </c>
      <c r="O59" s="13" t="s">
        <v>75</v>
      </c>
      <c r="P59" s="13"/>
    </row>
    <row r="60" spans="1:16" x14ac:dyDescent="0.25">
      <c r="A60" s="10" t="s">
        <v>145</v>
      </c>
      <c r="B60" s="10"/>
      <c r="C60" s="10"/>
      <c r="D60" s="10"/>
      <c r="E60" s="11"/>
      <c r="F60" s="11"/>
      <c r="G60" s="10"/>
      <c r="H60" s="10"/>
      <c r="I60" s="10"/>
      <c r="J60" s="33"/>
      <c r="K60" s="33"/>
      <c r="L60" s="10"/>
      <c r="M60" s="10"/>
      <c r="N60" s="10" t="s">
        <v>76</v>
      </c>
      <c r="O60" s="10" t="s">
        <v>77</v>
      </c>
      <c r="P60" s="10"/>
    </row>
    <row r="61" spans="1:16" x14ac:dyDescent="0.25">
      <c r="A61" s="12" t="s">
        <v>146</v>
      </c>
      <c r="B61" s="17"/>
      <c r="C61" s="13"/>
      <c r="D61" s="13"/>
      <c r="E61" s="14"/>
      <c r="F61" s="14"/>
      <c r="G61" s="15"/>
      <c r="H61" s="14"/>
      <c r="I61" s="15"/>
      <c r="J61" s="16"/>
      <c r="K61" s="34"/>
      <c r="M61" s="12"/>
      <c r="N61" s="17" t="s">
        <v>78</v>
      </c>
      <c r="O61" s="13" t="s">
        <v>79</v>
      </c>
      <c r="P61" s="13"/>
    </row>
    <row r="62" spans="1:16" x14ac:dyDescent="0.25">
      <c r="A62" s="10" t="s">
        <v>129</v>
      </c>
      <c r="B62" s="10"/>
      <c r="C62" s="10"/>
      <c r="D62" s="10"/>
      <c r="E62" s="11"/>
      <c r="F62" s="11"/>
      <c r="G62" s="10"/>
      <c r="H62" s="10"/>
      <c r="I62" s="10"/>
      <c r="J62" s="33"/>
      <c r="K62" s="33"/>
      <c r="L62" s="10"/>
      <c r="M62" s="10"/>
      <c r="N62" s="10" t="s">
        <v>80</v>
      </c>
      <c r="O62" s="10" t="s">
        <v>81</v>
      </c>
      <c r="P62" s="10"/>
    </row>
    <row r="63" spans="1:16" x14ac:dyDescent="0.25">
      <c r="A63" s="12" t="s">
        <v>147</v>
      </c>
      <c r="B63" s="17"/>
      <c r="C63" s="13"/>
      <c r="D63" s="13"/>
      <c r="E63" s="14"/>
      <c r="F63" s="14"/>
      <c r="G63" s="15"/>
      <c r="H63" s="14"/>
      <c r="I63" s="15"/>
      <c r="J63" s="16"/>
      <c r="K63" s="34"/>
      <c r="M63" s="12"/>
      <c r="N63" s="17" t="s">
        <v>82</v>
      </c>
      <c r="O63" s="13" t="s">
        <v>83</v>
      </c>
      <c r="P63" s="13"/>
    </row>
    <row r="64" spans="1:16" x14ac:dyDescent="0.25">
      <c r="A64" s="10" t="s">
        <v>162</v>
      </c>
      <c r="B64" s="10"/>
      <c r="C64" s="10"/>
      <c r="D64" s="10"/>
      <c r="E64" s="11"/>
      <c r="F64" s="11"/>
      <c r="G64" s="10"/>
      <c r="H64" s="10"/>
      <c r="I64" s="10"/>
      <c r="J64" s="33"/>
      <c r="K64" s="33"/>
      <c r="L64" s="10"/>
      <c r="M64" s="10"/>
      <c r="N64" s="10" t="s">
        <v>84</v>
      </c>
      <c r="O64" s="10" t="s">
        <v>77</v>
      </c>
      <c r="P64" s="10"/>
    </row>
    <row r="65" spans="1:16" x14ac:dyDescent="0.25">
      <c r="A65" s="12" t="s">
        <v>165</v>
      </c>
      <c r="B65" s="17"/>
      <c r="C65" s="13"/>
      <c r="D65" s="13"/>
      <c r="E65" s="14"/>
      <c r="F65" s="14"/>
      <c r="G65" s="15"/>
      <c r="H65" s="14"/>
      <c r="I65" s="15"/>
      <c r="J65" s="16"/>
      <c r="K65" s="34"/>
      <c r="M65" s="12"/>
      <c r="N65" s="17" t="s">
        <v>85</v>
      </c>
      <c r="O65" s="13" t="s">
        <v>86</v>
      </c>
      <c r="P65" s="13"/>
    </row>
    <row r="66" spans="1:16" x14ac:dyDescent="0.25">
      <c r="A66" s="10" t="s">
        <v>143</v>
      </c>
      <c r="B66" s="10"/>
      <c r="C66" s="10"/>
      <c r="D66" s="10"/>
      <c r="E66" s="11"/>
      <c r="F66" s="11"/>
      <c r="G66" s="10"/>
      <c r="H66" s="10"/>
      <c r="I66" s="10"/>
      <c r="J66" s="33"/>
      <c r="K66" s="33"/>
      <c r="L66" s="10"/>
      <c r="M66" s="10"/>
      <c r="N66" s="10" t="s">
        <v>87</v>
      </c>
      <c r="O66" s="10" t="s">
        <v>88</v>
      </c>
      <c r="P66" s="10"/>
    </row>
    <row r="67" spans="1:16" x14ac:dyDescent="0.25">
      <c r="A67" s="12" t="s">
        <v>144</v>
      </c>
      <c r="B67" s="17"/>
      <c r="C67" s="13"/>
      <c r="D67" s="13"/>
      <c r="E67" s="14"/>
      <c r="F67" s="14"/>
      <c r="G67" s="15"/>
      <c r="H67" s="14"/>
      <c r="I67" s="15"/>
      <c r="J67" s="16"/>
      <c r="K67" s="34"/>
      <c r="M67" s="12"/>
      <c r="N67" s="17" t="s">
        <v>89</v>
      </c>
      <c r="O67" s="13" t="s">
        <v>90</v>
      </c>
      <c r="P67" s="13"/>
    </row>
    <row r="68" spans="1:16" x14ac:dyDescent="0.25">
      <c r="A68" s="10" t="s">
        <v>145</v>
      </c>
      <c r="B68" s="10"/>
      <c r="C68" s="10"/>
      <c r="D68" s="10"/>
      <c r="E68" s="11"/>
      <c r="F68" s="11"/>
      <c r="G68" s="10"/>
      <c r="H68" s="10"/>
      <c r="I68" s="10"/>
      <c r="J68" s="33"/>
      <c r="K68" s="33"/>
      <c r="L68" s="10"/>
      <c r="M68" s="10"/>
      <c r="N68" s="10" t="s">
        <v>91</v>
      </c>
      <c r="O68" s="10" t="s">
        <v>92</v>
      </c>
      <c r="P68" s="10"/>
    </row>
    <row r="69" spans="1:16" x14ac:dyDescent="0.25">
      <c r="A69" s="12" t="s">
        <v>146</v>
      </c>
      <c r="B69" s="17"/>
      <c r="C69" s="13"/>
      <c r="D69" s="13"/>
      <c r="E69" s="14"/>
      <c r="F69" s="14"/>
      <c r="G69" s="15"/>
      <c r="H69" s="14"/>
      <c r="I69" s="15"/>
      <c r="J69" s="16"/>
      <c r="K69" s="34"/>
      <c r="M69" s="12"/>
      <c r="N69" s="17" t="s">
        <v>93</v>
      </c>
      <c r="O69" s="13" t="s">
        <v>94</v>
      </c>
      <c r="P69" s="13"/>
    </row>
    <row r="70" spans="1:16" x14ac:dyDescent="0.25">
      <c r="A70" s="10" t="s">
        <v>129</v>
      </c>
      <c r="B70" s="10"/>
      <c r="C70" s="10"/>
      <c r="D70" s="10"/>
      <c r="E70" s="11"/>
      <c r="F70" s="11"/>
      <c r="G70" s="10"/>
      <c r="H70" s="10"/>
      <c r="I70" s="10"/>
      <c r="J70" s="33"/>
      <c r="K70" s="33"/>
      <c r="L70" s="10"/>
      <c r="M70" s="10"/>
      <c r="N70" s="10" t="s">
        <v>95</v>
      </c>
      <c r="O70" s="10" t="s">
        <v>96</v>
      </c>
      <c r="P70" s="10"/>
    </row>
    <row r="71" spans="1:16" x14ac:dyDescent="0.25">
      <c r="A71" s="12" t="s">
        <v>147</v>
      </c>
      <c r="B71" s="17"/>
      <c r="C71" s="13"/>
      <c r="D71" s="13"/>
      <c r="E71" s="14"/>
      <c r="F71" s="14"/>
      <c r="G71" s="15"/>
      <c r="H71" s="14"/>
      <c r="I71" s="15"/>
      <c r="J71" s="16"/>
      <c r="K71" s="34"/>
      <c r="M71" s="12"/>
      <c r="N71" s="17" t="s">
        <v>97</v>
      </c>
      <c r="O71" s="13" t="s">
        <v>98</v>
      </c>
      <c r="P71" s="13"/>
    </row>
    <row r="72" spans="1:16" x14ac:dyDescent="0.25">
      <c r="A72" s="10" t="s">
        <v>162</v>
      </c>
      <c r="B72" s="10"/>
      <c r="C72" s="10"/>
      <c r="D72" s="10"/>
      <c r="E72" s="11"/>
      <c r="F72" s="11"/>
      <c r="G72" s="10"/>
      <c r="H72" s="10"/>
      <c r="I72" s="10"/>
      <c r="J72" s="33"/>
      <c r="K72" s="33"/>
      <c r="L72" s="10"/>
      <c r="M72" s="10"/>
      <c r="N72" s="10" t="s">
        <v>99</v>
      </c>
      <c r="O72" s="10" t="s">
        <v>98</v>
      </c>
      <c r="P72" s="10"/>
    </row>
    <row r="73" spans="1:16" x14ac:dyDescent="0.25">
      <c r="A73" s="12" t="s">
        <v>165</v>
      </c>
      <c r="B73" s="17"/>
      <c r="C73" s="13"/>
      <c r="D73" s="13"/>
      <c r="E73" s="14"/>
      <c r="F73" s="14"/>
      <c r="G73" s="15"/>
      <c r="H73" s="14"/>
      <c r="I73" s="15"/>
      <c r="J73" s="16"/>
      <c r="K73" s="34"/>
      <c r="M73" s="12"/>
      <c r="N73" s="17" t="s">
        <v>100</v>
      </c>
      <c r="O73" s="13" t="s">
        <v>101</v>
      </c>
      <c r="P73" s="13"/>
    </row>
    <row r="74" spans="1:16" x14ac:dyDescent="0.25">
      <c r="A74" s="10" t="s">
        <v>143</v>
      </c>
      <c r="B74" s="10"/>
      <c r="C74" s="10"/>
      <c r="D74" s="10"/>
      <c r="E74" s="11"/>
      <c r="F74" s="11"/>
      <c r="G74" s="10"/>
      <c r="H74" s="10"/>
      <c r="I74" s="10"/>
      <c r="J74" s="33"/>
      <c r="K74" s="33"/>
      <c r="L74" s="10"/>
      <c r="M74" s="10"/>
      <c r="N74" s="10" t="s">
        <v>102</v>
      </c>
      <c r="O74" s="10" t="s">
        <v>103</v>
      </c>
      <c r="P74" s="10"/>
    </row>
    <row r="75" spans="1:16" x14ac:dyDescent="0.25">
      <c r="A75" s="12" t="s">
        <v>144</v>
      </c>
      <c r="B75" s="17"/>
      <c r="C75" s="13"/>
      <c r="D75" s="13"/>
      <c r="E75" s="14"/>
      <c r="F75" s="14"/>
      <c r="G75" s="15"/>
      <c r="H75" s="14"/>
      <c r="I75" s="15"/>
      <c r="J75" s="16"/>
      <c r="K75" s="34"/>
      <c r="M75" s="12"/>
      <c r="N75" s="17" t="s">
        <v>104</v>
      </c>
      <c r="O75" s="13" t="s">
        <v>103</v>
      </c>
      <c r="P75" s="13"/>
    </row>
    <row r="76" spans="1:16" x14ac:dyDescent="0.25">
      <c r="A76" s="10" t="s">
        <v>145</v>
      </c>
      <c r="B76" s="10"/>
      <c r="C76" s="10"/>
      <c r="D76" s="10"/>
      <c r="E76" s="11"/>
      <c r="F76" s="11"/>
      <c r="G76" s="10"/>
      <c r="H76" s="10"/>
      <c r="I76" s="10"/>
      <c r="J76" s="33"/>
      <c r="K76" s="33"/>
      <c r="L76" s="10"/>
      <c r="M76" s="10"/>
      <c r="N76" s="10" t="s">
        <v>105</v>
      </c>
      <c r="O76" s="10" t="s">
        <v>106</v>
      </c>
      <c r="P76" s="10"/>
    </row>
    <row r="77" spans="1:16" x14ac:dyDescent="0.25">
      <c r="A77" s="12" t="s">
        <v>146</v>
      </c>
      <c r="B77" s="17"/>
      <c r="C77" s="13"/>
      <c r="D77" s="13"/>
      <c r="E77" s="14"/>
      <c r="F77" s="14"/>
      <c r="G77" s="15"/>
      <c r="H77" s="14"/>
      <c r="I77" s="15"/>
      <c r="J77" s="16"/>
      <c r="K77" s="34"/>
      <c r="M77" s="12"/>
      <c r="N77" s="17" t="s">
        <v>107</v>
      </c>
      <c r="O77" s="13" t="s">
        <v>79</v>
      </c>
      <c r="P77" s="13"/>
    </row>
    <row r="78" spans="1:16" x14ac:dyDescent="0.25">
      <c r="A78" s="10" t="s">
        <v>129</v>
      </c>
      <c r="B78" s="10"/>
      <c r="C78" s="10"/>
      <c r="D78" s="10"/>
      <c r="E78" s="11"/>
      <c r="F78" s="11"/>
      <c r="G78" s="10"/>
      <c r="H78" s="10"/>
      <c r="I78" s="10"/>
      <c r="J78" s="33"/>
      <c r="K78" s="33"/>
      <c r="L78" s="10"/>
      <c r="M78" s="10"/>
      <c r="N78" s="10" t="s">
        <v>108</v>
      </c>
      <c r="O78" s="10" t="s">
        <v>109</v>
      </c>
      <c r="P78" s="10"/>
    </row>
    <row r="79" spans="1:16" x14ac:dyDescent="0.25">
      <c r="A79" s="12" t="s">
        <v>147</v>
      </c>
      <c r="B79" s="17"/>
      <c r="C79" s="13"/>
      <c r="D79" s="13"/>
      <c r="E79" s="14"/>
      <c r="F79" s="14"/>
      <c r="G79" s="15"/>
      <c r="H79" s="14"/>
      <c r="I79" s="15"/>
      <c r="J79" s="16"/>
      <c r="K79" s="34"/>
      <c r="M79" s="12"/>
      <c r="N79" s="17" t="s">
        <v>110</v>
      </c>
      <c r="O79" s="13" t="s">
        <v>111</v>
      </c>
      <c r="P79" s="13"/>
    </row>
    <row r="80" spans="1:16" x14ac:dyDescent="0.25">
      <c r="A80" s="10" t="s">
        <v>162</v>
      </c>
      <c r="B80" s="10"/>
      <c r="C80" s="10"/>
      <c r="D80" s="10"/>
      <c r="E80" s="11"/>
      <c r="F80" s="11"/>
      <c r="G80" s="10"/>
      <c r="H80" s="10"/>
      <c r="I80" s="10"/>
      <c r="J80" s="33"/>
      <c r="K80" s="33"/>
      <c r="L80" s="10"/>
      <c r="M80" s="10"/>
      <c r="N80" s="10" t="s">
        <v>112</v>
      </c>
      <c r="O80" s="10" t="s">
        <v>109</v>
      </c>
      <c r="P80" s="10"/>
    </row>
    <row r="81" spans="1:16" x14ac:dyDescent="0.25">
      <c r="A81" s="12" t="s">
        <v>165</v>
      </c>
      <c r="B81" s="17"/>
      <c r="C81" s="13"/>
      <c r="D81" s="13"/>
      <c r="E81" s="14"/>
      <c r="F81" s="14"/>
      <c r="G81" s="15"/>
      <c r="H81" s="14"/>
      <c r="I81" s="15"/>
      <c r="J81" s="16"/>
      <c r="K81" s="34"/>
      <c r="M81" s="12"/>
      <c r="N81" s="17" t="s">
        <v>113</v>
      </c>
      <c r="O81" s="13" t="s">
        <v>109</v>
      </c>
      <c r="P81" s="13"/>
    </row>
    <row r="82" spans="1:16" x14ac:dyDescent="0.25">
      <c r="A82" s="10" t="s">
        <v>143</v>
      </c>
      <c r="B82" s="10"/>
      <c r="C82" s="10"/>
      <c r="D82" s="10"/>
      <c r="E82" s="11"/>
      <c r="F82" s="11"/>
      <c r="G82" s="10"/>
      <c r="H82" s="10"/>
      <c r="I82" s="10"/>
      <c r="J82" s="33"/>
      <c r="K82" s="33"/>
      <c r="L82" s="10"/>
      <c r="M82" s="10"/>
      <c r="N82" s="10" t="s">
        <v>114</v>
      </c>
      <c r="O82" s="10" t="s">
        <v>111</v>
      </c>
      <c r="P82" s="10"/>
    </row>
    <row r="83" spans="1:16" x14ac:dyDescent="0.25">
      <c r="A83" s="12" t="s">
        <v>144</v>
      </c>
      <c r="B83" s="17"/>
      <c r="C83" s="13"/>
      <c r="D83" s="13"/>
      <c r="E83" s="14"/>
      <c r="F83" s="14"/>
      <c r="G83" s="15"/>
      <c r="H83" s="14"/>
      <c r="I83" s="15"/>
      <c r="J83" s="16"/>
      <c r="K83" s="34"/>
      <c r="M83" s="12"/>
      <c r="N83" s="17" t="s">
        <v>115</v>
      </c>
      <c r="O83" s="13" t="s">
        <v>111</v>
      </c>
      <c r="P83" s="13"/>
    </row>
    <row r="84" spans="1:16" x14ac:dyDescent="0.25">
      <c r="A84" s="10" t="s">
        <v>145</v>
      </c>
      <c r="B84" s="10"/>
      <c r="C84" s="10"/>
      <c r="D84" s="10"/>
      <c r="E84" s="11"/>
      <c r="F84" s="11"/>
      <c r="G84" s="10"/>
      <c r="H84" s="10"/>
      <c r="I84" s="10"/>
      <c r="J84" s="33"/>
      <c r="K84" s="33"/>
      <c r="L84" s="10"/>
      <c r="M84" s="10"/>
      <c r="N84" s="10" t="s">
        <v>116</v>
      </c>
      <c r="O84" s="10" t="s">
        <v>117</v>
      </c>
      <c r="P84" s="10"/>
    </row>
    <row r="85" spans="1:16" x14ac:dyDescent="0.25">
      <c r="A85" s="12" t="s">
        <v>146</v>
      </c>
      <c r="B85" s="17"/>
      <c r="C85" s="13"/>
      <c r="D85" s="13"/>
      <c r="E85" s="14"/>
      <c r="F85" s="14"/>
      <c r="G85" s="15"/>
      <c r="H85" s="14"/>
      <c r="I85" s="15"/>
      <c r="J85" s="16"/>
      <c r="K85" s="34"/>
      <c r="M85" s="12"/>
      <c r="N85" s="17" t="s">
        <v>118</v>
      </c>
      <c r="O85" s="13" t="s">
        <v>117</v>
      </c>
      <c r="P85" s="13"/>
    </row>
    <row r="86" spans="1:16" x14ac:dyDescent="0.25">
      <c r="A86" s="10" t="s">
        <v>129</v>
      </c>
      <c r="B86" s="10"/>
      <c r="C86" s="10"/>
      <c r="D86" s="10"/>
      <c r="E86" s="11"/>
      <c r="F86" s="11"/>
      <c r="G86" s="10"/>
      <c r="H86" s="10"/>
      <c r="I86" s="10"/>
      <c r="J86" s="33"/>
      <c r="K86" s="33"/>
      <c r="L86" s="10"/>
      <c r="M86" s="10"/>
      <c r="N86" s="10" t="s">
        <v>119</v>
      </c>
      <c r="O86" s="10" t="s">
        <v>120</v>
      </c>
      <c r="P86" s="10"/>
    </row>
    <row r="87" spans="1:16" x14ac:dyDescent="0.25">
      <c r="A87" s="12" t="s">
        <v>147</v>
      </c>
      <c r="B87" s="17"/>
      <c r="C87" s="13"/>
      <c r="D87" s="13"/>
      <c r="E87" s="14"/>
      <c r="F87" s="14"/>
      <c r="G87" s="15"/>
      <c r="H87" s="14"/>
      <c r="I87" s="15"/>
      <c r="J87" s="16"/>
      <c r="K87" s="34"/>
      <c r="M87" s="12"/>
      <c r="N87" s="17" t="s">
        <v>121</v>
      </c>
      <c r="O87" s="13" t="s">
        <v>122</v>
      </c>
      <c r="P87" s="13"/>
    </row>
    <row r="88" spans="1:16" x14ac:dyDescent="0.25">
      <c r="A88" s="20"/>
      <c r="B88" s="21"/>
      <c r="C88" s="21"/>
      <c r="D88" s="21"/>
      <c r="E88" s="21"/>
      <c r="F88" s="21"/>
      <c r="G88" s="22"/>
      <c r="H88" s="22"/>
      <c r="I88" s="23"/>
      <c r="J88" s="21"/>
      <c r="K88" s="3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61C3E-CA91-459C-978C-42F349A9E287}">
  <sheetPr codeName="Foglio2"/>
  <dimension ref="A1:O88"/>
  <sheetViews>
    <sheetView showGridLines="0" workbookViewId="0">
      <selection activeCell="K1" sqref="K1:K1048576"/>
    </sheetView>
  </sheetViews>
  <sheetFormatPr defaultRowHeight="15" x14ac:dyDescent="0.25"/>
  <cols>
    <col min="1" max="1" width="11.28515625" style="24" bestFit="1" customWidth="1"/>
    <col min="2" max="2" width="16.85546875" style="24" bestFit="1" customWidth="1"/>
    <col min="3" max="3" width="16.42578125" style="24" bestFit="1" customWidth="1"/>
    <col min="4" max="4" width="13.28515625" style="24" bestFit="1" customWidth="1"/>
    <col min="5" max="6" width="10.42578125" style="24" bestFit="1" customWidth="1"/>
    <col min="7" max="7" width="9.5703125" style="24" hidden="1" customWidth="1"/>
    <col min="8" max="8" width="10.42578125" style="24" hidden="1" customWidth="1"/>
    <col min="9" max="9" width="9.5703125" style="25" hidden="1" customWidth="1"/>
    <col min="10" max="10" width="18.28515625" style="24" bestFit="1" customWidth="1"/>
    <col min="11" max="11" width="23.28515625" style="24" bestFit="1" customWidth="1"/>
    <col min="12" max="12" width="30.85546875" bestFit="1" customWidth="1"/>
    <col min="13" max="13" width="51.42578125" bestFit="1" customWidth="1"/>
    <col min="14" max="14" width="9.42578125" bestFit="1" customWidth="1"/>
    <col min="15" max="15" width="21.85546875" bestFit="1" customWidth="1"/>
    <col min="17" max="17" width="9.42578125" bestFit="1" customWidth="1"/>
    <col min="18" max="18" width="21.85546875" bestFit="1" customWidth="1"/>
    <col min="19" max="19" width="17.7109375" bestFit="1" customWidth="1"/>
  </cols>
  <sheetData>
    <row r="1" spans="1:15" x14ac:dyDescent="0.25">
      <c r="A1" s="6" t="s">
        <v>127</v>
      </c>
      <c r="B1" s="7" t="s">
        <v>126</v>
      </c>
      <c r="C1" s="7" t="s">
        <v>136</v>
      </c>
      <c r="D1" s="7" t="s">
        <v>125</v>
      </c>
      <c r="E1" s="7" t="s">
        <v>128</v>
      </c>
      <c r="F1" s="7" t="s">
        <v>158</v>
      </c>
      <c r="G1" s="7" t="s">
        <v>130</v>
      </c>
      <c r="H1" s="7" t="s">
        <v>131</v>
      </c>
      <c r="I1" s="8" t="s">
        <v>132</v>
      </c>
      <c r="J1" s="7" t="s">
        <v>164</v>
      </c>
      <c r="K1" s="7" t="s">
        <v>187</v>
      </c>
      <c r="L1" s="6" t="s">
        <v>134</v>
      </c>
      <c r="M1" s="7" t="s">
        <v>135</v>
      </c>
      <c r="N1" s="7" t="s">
        <v>123</v>
      </c>
      <c r="O1" s="7" t="s">
        <v>124</v>
      </c>
    </row>
    <row r="2" spans="1:15" x14ac:dyDescent="0.25">
      <c r="A2" s="10">
        <v>1</v>
      </c>
      <c r="B2" s="10" t="s">
        <v>167</v>
      </c>
      <c r="C2" s="10" t="s">
        <v>161</v>
      </c>
      <c r="D2" s="10" t="s">
        <v>157</v>
      </c>
      <c r="E2" s="11">
        <v>45689</v>
      </c>
      <c r="F2" s="11">
        <v>45900</v>
      </c>
      <c r="G2" s="10">
        <f>+'21'!$F2-'21'!$E2</f>
        <v>211</v>
      </c>
      <c r="H2" s="10">
        <f t="shared" ref="H2:H9" ca="1" si="0">+TODAY()</f>
        <v>45817</v>
      </c>
      <c r="I2" s="10">
        <f ca="1">+'21'!$H2-'21'!$E2</f>
        <v>128</v>
      </c>
      <c r="J2" s="33">
        <f ca="1">+'21'!$I2/'21'!$G2</f>
        <v>0.60663507109004744</v>
      </c>
      <c r="K2" s="33" t="s">
        <v>188</v>
      </c>
      <c r="L2" s="10"/>
      <c r="M2" s="10"/>
      <c r="N2" s="10"/>
      <c r="O2" s="10"/>
    </row>
    <row r="3" spans="1:15" x14ac:dyDescent="0.25">
      <c r="A3" s="12">
        <v>2</v>
      </c>
      <c r="B3" s="17" t="s">
        <v>168</v>
      </c>
      <c r="C3" s="13" t="s">
        <v>161</v>
      </c>
      <c r="D3" s="13" t="s">
        <v>163</v>
      </c>
      <c r="E3" s="14">
        <v>45690</v>
      </c>
      <c r="F3" s="14">
        <v>45901</v>
      </c>
      <c r="G3" s="15">
        <f>+'21'!$F3-'21'!$E3</f>
        <v>211</v>
      </c>
      <c r="H3" s="14">
        <f t="shared" ca="1" si="0"/>
        <v>45817</v>
      </c>
      <c r="I3" s="15">
        <f ca="1">+'21'!$H3-'21'!$E3</f>
        <v>127</v>
      </c>
      <c r="J3" s="16">
        <f ca="1">+'21'!$I3/'21'!$G3</f>
        <v>0.6018957345971564</v>
      </c>
      <c r="K3" s="34" t="s">
        <v>189</v>
      </c>
      <c r="M3" s="12"/>
      <c r="N3" s="17"/>
      <c r="O3" s="13"/>
    </row>
    <row r="4" spans="1:15" x14ac:dyDescent="0.25">
      <c r="A4" s="10">
        <v>3</v>
      </c>
      <c r="B4" s="10" t="s">
        <v>169</v>
      </c>
      <c r="C4" s="10" t="s">
        <v>149</v>
      </c>
      <c r="D4" s="10" t="s">
        <v>163</v>
      </c>
      <c r="E4" s="11">
        <v>45691</v>
      </c>
      <c r="F4" s="11">
        <v>45902</v>
      </c>
      <c r="G4" s="10">
        <f>+'21'!$F4-'21'!$E4</f>
        <v>211</v>
      </c>
      <c r="H4" s="10">
        <f t="shared" ca="1" si="0"/>
        <v>45817</v>
      </c>
      <c r="I4" s="10">
        <f ca="1">+'21'!$H4-'21'!$E4</f>
        <v>126</v>
      </c>
      <c r="J4" s="33">
        <f ca="1">+'21'!$I4/'21'!$G4</f>
        <v>0.59715639810426535</v>
      </c>
      <c r="K4" s="33" t="s">
        <v>190</v>
      </c>
      <c r="L4" s="10"/>
      <c r="M4" s="10"/>
      <c r="N4" s="10"/>
      <c r="O4" s="10"/>
    </row>
    <row r="5" spans="1:15" x14ac:dyDescent="0.25">
      <c r="A5" s="12">
        <v>4</v>
      </c>
      <c r="B5" s="17" t="s">
        <v>170</v>
      </c>
      <c r="C5" s="13" t="s">
        <v>150</v>
      </c>
      <c r="D5" s="13" t="s">
        <v>153</v>
      </c>
      <c r="E5" s="14">
        <v>45692</v>
      </c>
      <c r="F5" s="14">
        <v>45903</v>
      </c>
      <c r="G5" s="15">
        <f>+'21'!$F5-'21'!$E5</f>
        <v>211</v>
      </c>
      <c r="H5" s="14">
        <f t="shared" ca="1" si="0"/>
        <v>45817</v>
      </c>
      <c r="I5" s="15">
        <f ca="1">+'21'!$H5-'21'!$E5</f>
        <v>125</v>
      </c>
      <c r="J5" s="16">
        <f ca="1">+'21'!$I5/'21'!$G5</f>
        <v>0.59241706161137442</v>
      </c>
      <c r="K5" s="34" t="s">
        <v>191</v>
      </c>
      <c r="M5" s="12"/>
      <c r="N5" s="17"/>
      <c r="O5" s="13"/>
    </row>
    <row r="6" spans="1:15" x14ac:dyDescent="0.25">
      <c r="A6" s="10">
        <v>5</v>
      </c>
      <c r="B6" s="10" t="s">
        <v>171</v>
      </c>
      <c r="C6" s="10" t="s">
        <v>151</v>
      </c>
      <c r="D6" s="10" t="s">
        <v>154</v>
      </c>
      <c r="E6" s="11">
        <v>45693</v>
      </c>
      <c r="F6" s="11">
        <v>45904</v>
      </c>
      <c r="G6" s="10">
        <f>+'21'!$F6-'21'!$E6</f>
        <v>211</v>
      </c>
      <c r="H6" s="10">
        <f t="shared" ca="1" si="0"/>
        <v>45817</v>
      </c>
      <c r="I6" s="10">
        <f ca="1">+'21'!$H6-'21'!$E6</f>
        <v>124</v>
      </c>
      <c r="J6" s="33">
        <f ca="1">+'21'!$I6/'21'!$G6</f>
        <v>0.58767772511848337</v>
      </c>
      <c r="K6" s="33" t="s">
        <v>192</v>
      </c>
      <c r="L6" s="10"/>
      <c r="M6" s="10"/>
      <c r="N6" s="10"/>
      <c r="O6" s="10"/>
    </row>
    <row r="7" spans="1:15" x14ac:dyDescent="0.25">
      <c r="A7" s="12">
        <v>6</v>
      </c>
      <c r="B7" s="17" t="s">
        <v>172</v>
      </c>
      <c r="C7" s="13" t="s">
        <v>152</v>
      </c>
      <c r="D7" s="13" t="s">
        <v>155</v>
      </c>
      <c r="E7" s="14">
        <v>45694</v>
      </c>
      <c r="F7" s="14">
        <v>45905</v>
      </c>
      <c r="G7" s="15">
        <f>+'21'!$F7-'21'!$E7</f>
        <v>211</v>
      </c>
      <c r="H7" s="14">
        <f t="shared" ca="1" si="0"/>
        <v>45817</v>
      </c>
      <c r="I7" s="15">
        <f ca="1">+'21'!$H7-'21'!$E7</f>
        <v>123</v>
      </c>
      <c r="J7" s="16">
        <f ca="1">+'21'!$I7/'21'!$G7</f>
        <v>0.58293838862559244</v>
      </c>
      <c r="K7" s="34" t="s">
        <v>193</v>
      </c>
      <c r="M7" s="12"/>
      <c r="N7" s="17"/>
      <c r="O7" s="13"/>
    </row>
    <row r="8" spans="1:15" x14ac:dyDescent="0.25">
      <c r="A8" s="10">
        <v>7</v>
      </c>
      <c r="B8" s="10" t="s">
        <v>173</v>
      </c>
      <c r="C8" s="10" t="s">
        <v>149</v>
      </c>
      <c r="D8" s="10" t="s">
        <v>155</v>
      </c>
      <c r="E8" s="11">
        <v>45695</v>
      </c>
      <c r="F8" s="11">
        <v>45906</v>
      </c>
      <c r="G8" s="10">
        <f>+'21'!$F8-'21'!$E8</f>
        <v>211</v>
      </c>
      <c r="H8" s="10">
        <f t="shared" ca="1" si="0"/>
        <v>45817</v>
      </c>
      <c r="I8" s="10">
        <f ca="1">+'21'!$H8-'21'!$E8</f>
        <v>122</v>
      </c>
      <c r="J8" s="33">
        <f ca="1">+'21'!$I8/'21'!$G8</f>
        <v>0.5781990521327014</v>
      </c>
      <c r="K8" s="33" t="s">
        <v>194</v>
      </c>
      <c r="L8" s="10"/>
      <c r="M8" s="10"/>
      <c r="N8" s="10"/>
      <c r="O8" s="10"/>
    </row>
    <row r="9" spans="1:15" x14ac:dyDescent="0.25">
      <c r="A9" s="12">
        <v>8</v>
      </c>
      <c r="B9" s="17" t="s">
        <v>174</v>
      </c>
      <c r="C9" s="13" t="s">
        <v>150</v>
      </c>
      <c r="D9" s="13" t="s">
        <v>156</v>
      </c>
      <c r="E9" s="14">
        <v>45696</v>
      </c>
      <c r="F9" s="14">
        <v>45907</v>
      </c>
      <c r="G9" s="15">
        <f>+'21'!$F9-'21'!$E9</f>
        <v>211</v>
      </c>
      <c r="H9" s="14">
        <f t="shared" ca="1" si="0"/>
        <v>45817</v>
      </c>
      <c r="I9" s="15">
        <f ca="1">+'21'!$H9-'21'!$E9</f>
        <v>121</v>
      </c>
      <c r="J9" s="16">
        <f ca="1">+'21'!$I9/'21'!$G9</f>
        <v>0.57345971563981046</v>
      </c>
      <c r="K9" s="34" t="s">
        <v>195</v>
      </c>
      <c r="M9" s="12"/>
      <c r="N9" s="17"/>
      <c r="O9" s="13"/>
    </row>
    <row r="10" spans="1:15" x14ac:dyDescent="0.25">
      <c r="A10" s="10">
        <v>1</v>
      </c>
      <c r="B10" s="10"/>
      <c r="C10" s="10"/>
      <c r="D10" s="10"/>
      <c r="E10" s="11"/>
      <c r="F10" s="11"/>
      <c r="G10" s="10"/>
      <c r="H10" s="10"/>
      <c r="I10" s="10"/>
      <c r="J10" s="33"/>
      <c r="K10" s="33"/>
      <c r="L10" s="10" t="s">
        <v>0</v>
      </c>
      <c r="M10" s="10"/>
      <c r="N10" s="10"/>
      <c r="O10" s="10"/>
    </row>
    <row r="11" spans="1:15" x14ac:dyDescent="0.25">
      <c r="A11" s="12">
        <v>2</v>
      </c>
      <c r="B11" s="17"/>
      <c r="C11" s="13"/>
      <c r="D11" s="13"/>
      <c r="E11" s="14"/>
      <c r="F11" s="14"/>
      <c r="G11" s="15"/>
      <c r="H11" s="14"/>
      <c r="I11" s="15"/>
      <c r="J11" s="16"/>
      <c r="K11" s="34"/>
      <c r="L11" t="s">
        <v>1</v>
      </c>
      <c r="M11" s="12"/>
      <c r="N11" s="17"/>
      <c r="O11" s="13"/>
    </row>
    <row r="12" spans="1:15" x14ac:dyDescent="0.25">
      <c r="A12" s="10">
        <v>3</v>
      </c>
      <c r="B12" s="10"/>
      <c r="C12" s="10"/>
      <c r="D12" s="10"/>
      <c r="E12" s="11"/>
      <c r="F12" s="11"/>
      <c r="G12" s="10"/>
      <c r="H12" s="10"/>
      <c r="I12" s="10"/>
      <c r="J12" s="33"/>
      <c r="K12" s="33"/>
      <c r="L12" s="10" t="s">
        <v>3</v>
      </c>
      <c r="M12" s="10" t="s">
        <v>2</v>
      </c>
      <c r="N12" s="10"/>
      <c r="O12" s="10"/>
    </row>
    <row r="13" spans="1:15" x14ac:dyDescent="0.25">
      <c r="A13" s="12">
        <v>4</v>
      </c>
      <c r="B13" s="17"/>
      <c r="C13" s="13"/>
      <c r="D13" s="13"/>
      <c r="E13" s="14"/>
      <c r="F13" s="14"/>
      <c r="G13" s="15"/>
      <c r="H13" s="14"/>
      <c r="I13" s="15"/>
      <c r="J13" s="16"/>
      <c r="K13" s="34"/>
      <c r="L13" t="s">
        <v>3</v>
      </c>
      <c r="M13" s="12" t="s">
        <v>4</v>
      </c>
      <c r="N13" s="17"/>
      <c r="O13" s="13"/>
    </row>
    <row r="14" spans="1:15" x14ac:dyDescent="0.25">
      <c r="A14" s="10">
        <v>5</v>
      </c>
      <c r="B14" s="10"/>
      <c r="C14" s="10"/>
      <c r="D14" s="10"/>
      <c r="E14" s="11"/>
      <c r="F14" s="11"/>
      <c r="G14" s="10"/>
      <c r="H14" s="10"/>
      <c r="I14" s="10"/>
      <c r="J14" s="33"/>
      <c r="K14" s="33"/>
      <c r="L14" s="10" t="s">
        <v>5</v>
      </c>
      <c r="M14" s="10" t="s">
        <v>4</v>
      </c>
      <c r="N14" s="10"/>
      <c r="O14" s="10"/>
    </row>
    <row r="15" spans="1:15" x14ac:dyDescent="0.25">
      <c r="A15" s="12">
        <v>6</v>
      </c>
      <c r="B15" s="17"/>
      <c r="C15" s="13"/>
      <c r="D15" s="13"/>
      <c r="E15" s="14"/>
      <c r="F15" s="14"/>
      <c r="G15" s="15"/>
      <c r="H15" s="14"/>
      <c r="I15" s="15"/>
      <c r="J15" s="16"/>
      <c r="K15" s="34"/>
      <c r="L15" t="s">
        <v>6</v>
      </c>
      <c r="M15" s="12" t="s">
        <v>2</v>
      </c>
      <c r="N15" s="17"/>
      <c r="O15" s="13"/>
    </row>
    <row r="16" spans="1:15" x14ac:dyDescent="0.25">
      <c r="A16" s="10">
        <v>7</v>
      </c>
      <c r="B16" s="10"/>
      <c r="C16" s="10"/>
      <c r="D16" s="10"/>
      <c r="E16" s="11"/>
      <c r="F16" s="11"/>
      <c r="G16" s="10"/>
      <c r="H16" s="10"/>
      <c r="I16" s="10"/>
      <c r="J16" s="33"/>
      <c r="K16" s="33"/>
      <c r="L16" s="10" t="s">
        <v>7</v>
      </c>
      <c r="M16" s="10"/>
      <c r="N16" s="10"/>
      <c r="O16" s="10"/>
    </row>
    <row r="17" spans="1:15" x14ac:dyDescent="0.25">
      <c r="A17" s="12">
        <v>8</v>
      </c>
      <c r="B17" s="17"/>
      <c r="C17" s="13"/>
      <c r="D17" s="13"/>
      <c r="E17" s="14"/>
      <c r="F17" s="14"/>
      <c r="G17" s="15"/>
      <c r="H17" s="14"/>
      <c r="I17" s="15"/>
      <c r="J17" s="16"/>
      <c r="K17" s="34"/>
      <c r="L17" t="s">
        <v>8</v>
      </c>
      <c r="M17" s="12" t="s">
        <v>2</v>
      </c>
      <c r="N17" s="17"/>
      <c r="O17" s="13"/>
    </row>
    <row r="18" spans="1:15" x14ac:dyDescent="0.25">
      <c r="A18" s="10">
        <v>1</v>
      </c>
      <c r="B18" s="10"/>
      <c r="C18" s="10"/>
      <c r="D18" s="10"/>
      <c r="E18" s="11"/>
      <c r="F18" s="11"/>
      <c r="G18" s="10"/>
      <c r="H18" s="10"/>
      <c r="I18" s="10"/>
      <c r="J18" s="33"/>
      <c r="K18" s="33"/>
      <c r="L18" s="10" t="s">
        <v>9</v>
      </c>
      <c r="M18" s="10"/>
      <c r="N18" s="10"/>
      <c r="O18" s="10"/>
    </row>
    <row r="19" spans="1:15" x14ac:dyDescent="0.25">
      <c r="A19" s="12">
        <v>2</v>
      </c>
      <c r="B19" s="17"/>
      <c r="C19" s="13"/>
      <c r="D19" s="13"/>
      <c r="E19" s="14"/>
      <c r="F19" s="14"/>
      <c r="G19" s="15"/>
      <c r="H19" s="14"/>
      <c r="I19" s="15"/>
      <c r="J19" s="16"/>
      <c r="K19" s="34"/>
      <c r="L19" t="s">
        <v>11</v>
      </c>
      <c r="M19" s="12" t="s">
        <v>10</v>
      </c>
      <c r="N19" s="17"/>
      <c r="O19" s="13"/>
    </row>
    <row r="20" spans="1:15" x14ac:dyDescent="0.25">
      <c r="A20" s="10">
        <v>3</v>
      </c>
      <c r="B20" s="10"/>
      <c r="C20" s="10"/>
      <c r="D20" s="10"/>
      <c r="E20" s="11"/>
      <c r="F20" s="11"/>
      <c r="G20" s="10"/>
      <c r="H20" s="10"/>
      <c r="I20" s="10"/>
      <c r="J20" s="33"/>
      <c r="K20" s="33"/>
      <c r="L20" s="10" t="s">
        <v>12</v>
      </c>
      <c r="M20" s="10" t="s">
        <v>2</v>
      </c>
      <c r="N20" s="10"/>
      <c r="O20" s="10"/>
    </row>
    <row r="21" spans="1:15" x14ac:dyDescent="0.25">
      <c r="A21" s="12">
        <v>4</v>
      </c>
      <c r="B21" s="17"/>
      <c r="C21" s="13"/>
      <c r="D21" s="13"/>
      <c r="E21" s="14"/>
      <c r="F21" s="14"/>
      <c r="G21" s="15"/>
      <c r="H21" s="14"/>
      <c r="I21" s="15"/>
      <c r="J21" s="16"/>
      <c r="K21" s="34"/>
      <c r="L21" t="s">
        <v>14</v>
      </c>
      <c r="M21" s="12" t="s">
        <v>13</v>
      </c>
      <c r="N21" s="17"/>
      <c r="O21" s="13"/>
    </row>
    <row r="22" spans="1:15" x14ac:dyDescent="0.25">
      <c r="A22" s="10">
        <v>5</v>
      </c>
      <c r="B22" s="10"/>
      <c r="C22" s="10"/>
      <c r="D22" s="10"/>
      <c r="E22" s="11"/>
      <c r="F22" s="11"/>
      <c r="G22" s="10"/>
      <c r="H22" s="10"/>
      <c r="I22" s="10"/>
      <c r="J22" s="33"/>
      <c r="K22" s="33"/>
      <c r="L22" s="10" t="s">
        <v>15</v>
      </c>
      <c r="M22" s="10"/>
      <c r="N22" s="10"/>
      <c r="O22" s="10"/>
    </row>
    <row r="23" spans="1:15" x14ac:dyDescent="0.25">
      <c r="A23" s="12">
        <v>1</v>
      </c>
      <c r="B23" s="17"/>
      <c r="C23" s="13"/>
      <c r="D23" s="13"/>
      <c r="E23" s="14"/>
      <c r="F23" s="14"/>
      <c r="G23" s="15"/>
      <c r="H23" s="14"/>
      <c r="I23" s="15"/>
      <c r="J23" s="16"/>
      <c r="K23" s="34"/>
      <c r="L23" t="s">
        <v>17</v>
      </c>
      <c r="M23" s="12" t="s">
        <v>16</v>
      </c>
      <c r="N23" s="17"/>
      <c r="O23" s="13"/>
    </row>
    <row r="24" spans="1:15" x14ac:dyDescent="0.25">
      <c r="A24" s="10">
        <v>2</v>
      </c>
      <c r="B24" s="10"/>
      <c r="C24" s="10"/>
      <c r="D24" s="10"/>
      <c r="E24" s="11"/>
      <c r="F24" s="11"/>
      <c r="G24" s="10"/>
      <c r="H24" s="10"/>
      <c r="I24" s="10"/>
      <c r="J24" s="33"/>
      <c r="K24" s="33"/>
      <c r="L24" s="10" t="s">
        <v>18</v>
      </c>
      <c r="M24" s="10" t="s">
        <v>13</v>
      </c>
      <c r="N24" s="10"/>
      <c r="O24" s="10"/>
    </row>
    <row r="25" spans="1:15" x14ac:dyDescent="0.25">
      <c r="A25" s="12">
        <v>3</v>
      </c>
      <c r="B25" s="17"/>
      <c r="C25" s="13"/>
      <c r="D25" s="13"/>
      <c r="E25" s="14"/>
      <c r="F25" s="14"/>
      <c r="G25" s="15"/>
      <c r="H25" s="14"/>
      <c r="I25" s="15"/>
      <c r="J25" s="16"/>
      <c r="K25" s="34"/>
      <c r="L25" t="s">
        <v>19</v>
      </c>
      <c r="M25" s="12"/>
      <c r="N25" s="17"/>
      <c r="O25" s="13"/>
    </row>
    <row r="26" spans="1:15" x14ac:dyDescent="0.25">
      <c r="A26" s="10">
        <v>4</v>
      </c>
      <c r="B26" s="10"/>
      <c r="C26" s="10"/>
      <c r="D26" s="10"/>
      <c r="E26" s="11"/>
      <c r="F26" s="11"/>
      <c r="G26" s="10"/>
      <c r="H26" s="10"/>
      <c r="I26" s="10"/>
      <c r="J26" s="33"/>
      <c r="K26" s="33"/>
      <c r="L26" s="10" t="s">
        <v>21</v>
      </c>
      <c r="M26" s="10" t="s">
        <v>20</v>
      </c>
      <c r="N26" s="10"/>
      <c r="O26" s="10"/>
    </row>
    <row r="27" spans="1:15" x14ac:dyDescent="0.25">
      <c r="A27" s="12">
        <v>5</v>
      </c>
      <c r="B27" s="17"/>
      <c r="C27" s="13"/>
      <c r="D27" s="13"/>
      <c r="E27" s="14"/>
      <c r="F27" s="14"/>
      <c r="G27" s="15"/>
      <c r="H27" s="14"/>
      <c r="I27" s="15"/>
      <c r="J27" s="16"/>
      <c r="K27" s="34"/>
      <c r="L27" t="s">
        <v>22</v>
      </c>
      <c r="M27" s="12"/>
      <c r="N27" s="17"/>
      <c r="O27" s="13"/>
    </row>
    <row r="28" spans="1:15" x14ac:dyDescent="0.25">
      <c r="A28" s="10">
        <v>6</v>
      </c>
      <c r="B28" s="10"/>
      <c r="C28" s="10"/>
      <c r="D28" s="10"/>
      <c r="E28" s="11"/>
      <c r="F28" s="11"/>
      <c r="G28" s="10"/>
      <c r="H28" s="10"/>
      <c r="I28" s="10"/>
      <c r="J28" s="33"/>
      <c r="K28" s="33"/>
      <c r="L28" s="10" t="s">
        <v>24</v>
      </c>
      <c r="M28" s="10" t="s">
        <v>23</v>
      </c>
      <c r="N28" s="10"/>
      <c r="O28" s="10"/>
    </row>
    <row r="29" spans="1:15" x14ac:dyDescent="0.25">
      <c r="A29" s="12">
        <v>7</v>
      </c>
      <c r="B29" s="17"/>
      <c r="C29" s="13"/>
      <c r="D29" s="13"/>
      <c r="E29" s="14"/>
      <c r="F29" s="14"/>
      <c r="G29" s="15"/>
      <c r="H29" s="14"/>
      <c r="I29" s="15"/>
      <c r="J29" s="16"/>
      <c r="K29" s="34"/>
      <c r="L29" t="s">
        <v>26</v>
      </c>
      <c r="M29" s="12" t="s">
        <v>25</v>
      </c>
      <c r="N29" s="17"/>
      <c r="O29" s="13"/>
    </row>
    <row r="30" spans="1:15" x14ac:dyDescent="0.25">
      <c r="A30" s="10">
        <v>1</v>
      </c>
      <c r="B30" s="10"/>
      <c r="C30" s="10"/>
      <c r="D30" s="10"/>
      <c r="E30" s="11"/>
      <c r="F30" s="11"/>
      <c r="G30" s="10"/>
      <c r="H30" s="10"/>
      <c r="I30" s="10"/>
      <c r="J30" s="33"/>
      <c r="K30" s="33"/>
      <c r="L30" s="10" t="s">
        <v>28</v>
      </c>
      <c r="M30" s="10" t="s">
        <v>27</v>
      </c>
      <c r="N30" s="10"/>
      <c r="O30" s="10"/>
    </row>
    <row r="31" spans="1:15" x14ac:dyDescent="0.25">
      <c r="A31" s="12">
        <v>2</v>
      </c>
      <c r="B31" s="17"/>
      <c r="C31" s="13"/>
      <c r="D31" s="13"/>
      <c r="E31" s="14"/>
      <c r="F31" s="14"/>
      <c r="G31" s="15"/>
      <c r="H31" s="14"/>
      <c r="I31" s="15"/>
      <c r="J31" s="16"/>
      <c r="K31" s="34"/>
      <c r="L31" t="s">
        <v>30</v>
      </c>
      <c r="M31" s="12" t="s">
        <v>29</v>
      </c>
      <c r="N31" s="17"/>
      <c r="O31" s="13"/>
    </row>
    <row r="32" spans="1:15" x14ac:dyDescent="0.25">
      <c r="A32" s="10">
        <v>3</v>
      </c>
      <c r="B32" s="10"/>
      <c r="C32" s="10"/>
      <c r="D32" s="10"/>
      <c r="E32" s="11"/>
      <c r="F32" s="11"/>
      <c r="G32" s="10"/>
      <c r="H32" s="10"/>
      <c r="I32" s="10"/>
      <c r="J32" s="33"/>
      <c r="K32" s="33"/>
      <c r="L32" s="10" t="s">
        <v>32</v>
      </c>
      <c r="M32" s="10" t="s">
        <v>31</v>
      </c>
      <c r="N32" s="10"/>
      <c r="O32" s="10"/>
    </row>
    <row r="33" spans="1:15" x14ac:dyDescent="0.25">
      <c r="A33" s="12">
        <v>4</v>
      </c>
      <c r="B33" s="17"/>
      <c r="C33" s="13"/>
      <c r="D33" s="13"/>
      <c r="E33" s="14"/>
      <c r="F33" s="14"/>
      <c r="G33" s="15"/>
      <c r="H33" s="14"/>
      <c r="I33" s="15"/>
      <c r="J33" s="16"/>
      <c r="K33" s="34"/>
      <c r="L33" t="s">
        <v>33</v>
      </c>
      <c r="M33" s="12" t="s">
        <v>2</v>
      </c>
      <c r="N33" s="17"/>
      <c r="O33" s="13"/>
    </row>
    <row r="34" spans="1:15" x14ac:dyDescent="0.25">
      <c r="A34" s="10">
        <v>5</v>
      </c>
      <c r="B34" s="10"/>
      <c r="C34" s="10"/>
      <c r="D34" s="10"/>
      <c r="E34" s="11"/>
      <c r="F34" s="11"/>
      <c r="G34" s="10"/>
      <c r="H34" s="10"/>
      <c r="I34" s="10"/>
      <c r="J34" s="33"/>
      <c r="K34" s="33"/>
      <c r="L34" s="10" t="s">
        <v>35</v>
      </c>
      <c r="M34" s="10" t="s">
        <v>34</v>
      </c>
      <c r="N34" s="10"/>
      <c r="O34" s="10"/>
    </row>
    <row r="35" spans="1:15" x14ac:dyDescent="0.25">
      <c r="A35" s="12">
        <v>6</v>
      </c>
      <c r="B35" s="17"/>
      <c r="C35" s="13"/>
      <c r="D35" s="13"/>
      <c r="E35" s="14"/>
      <c r="F35" s="14"/>
      <c r="G35" s="15"/>
      <c r="H35" s="14"/>
      <c r="I35" s="15"/>
      <c r="J35" s="16"/>
      <c r="K35" s="34"/>
      <c r="L35" t="s">
        <v>37</v>
      </c>
      <c r="M35" s="12" t="s">
        <v>36</v>
      </c>
      <c r="N35" s="17"/>
      <c r="O35" s="13"/>
    </row>
    <row r="36" spans="1:15" x14ac:dyDescent="0.25">
      <c r="A36" s="10">
        <v>7</v>
      </c>
      <c r="B36" s="10"/>
      <c r="C36" s="10"/>
      <c r="D36" s="10"/>
      <c r="E36" s="11"/>
      <c r="F36" s="11"/>
      <c r="G36" s="10"/>
      <c r="H36" s="10"/>
      <c r="I36" s="10"/>
      <c r="J36" s="33"/>
      <c r="K36" s="33"/>
      <c r="L36" s="10" t="s">
        <v>38</v>
      </c>
      <c r="M36" s="10"/>
      <c r="N36" s="10"/>
      <c r="O36" s="10"/>
    </row>
    <row r="37" spans="1:15" x14ac:dyDescent="0.25">
      <c r="A37" s="12">
        <v>8</v>
      </c>
      <c r="B37" s="17"/>
      <c r="C37" s="13"/>
      <c r="D37" s="13"/>
      <c r="E37" s="14"/>
      <c r="F37" s="14"/>
      <c r="G37" s="15"/>
      <c r="H37" s="14"/>
      <c r="I37" s="15"/>
      <c r="J37" s="16"/>
      <c r="K37" s="34"/>
      <c r="L37" t="s">
        <v>40</v>
      </c>
      <c r="M37" s="12" t="s">
        <v>39</v>
      </c>
      <c r="N37" s="17"/>
      <c r="O37" s="13"/>
    </row>
    <row r="38" spans="1:15" x14ac:dyDescent="0.25">
      <c r="A38" s="10">
        <v>1</v>
      </c>
      <c r="B38" s="10"/>
      <c r="C38" s="10"/>
      <c r="D38" s="10"/>
      <c r="E38" s="11"/>
      <c r="F38" s="11"/>
      <c r="G38" s="10"/>
      <c r="H38" s="10"/>
      <c r="I38" s="10"/>
      <c r="J38" s="33"/>
      <c r="K38" s="33"/>
      <c r="L38" s="10" t="s">
        <v>42</v>
      </c>
      <c r="M38" s="10" t="s">
        <v>41</v>
      </c>
      <c r="N38" s="10"/>
      <c r="O38" s="10"/>
    </row>
    <row r="39" spans="1:15" x14ac:dyDescent="0.25">
      <c r="A39" s="12">
        <v>1</v>
      </c>
      <c r="B39" s="17"/>
      <c r="C39" s="13"/>
      <c r="D39" s="13"/>
      <c r="E39" s="14"/>
      <c r="F39" s="14"/>
      <c r="G39" s="15"/>
      <c r="H39" s="14"/>
      <c r="I39" s="15"/>
      <c r="J39" s="16"/>
      <c r="K39" s="34"/>
      <c r="L39" t="s">
        <v>43</v>
      </c>
      <c r="M39" s="12"/>
      <c r="N39" s="17"/>
      <c r="O39" s="13"/>
    </row>
    <row r="40" spans="1:15" x14ac:dyDescent="0.25">
      <c r="A40" s="10">
        <v>1</v>
      </c>
      <c r="B40" s="10"/>
      <c r="C40" s="10"/>
      <c r="D40" s="10"/>
      <c r="E40" s="11"/>
      <c r="F40" s="11"/>
      <c r="G40" s="10"/>
      <c r="H40" s="10"/>
      <c r="I40" s="10"/>
      <c r="J40" s="33"/>
      <c r="K40" s="33"/>
      <c r="L40" s="10" t="s">
        <v>45</v>
      </c>
      <c r="M40" s="10" t="s">
        <v>44</v>
      </c>
      <c r="N40" s="10"/>
      <c r="O40" s="10"/>
    </row>
    <row r="41" spans="1:15" x14ac:dyDescent="0.25">
      <c r="A41" s="12">
        <v>2</v>
      </c>
      <c r="B41" s="17"/>
      <c r="C41" s="13"/>
      <c r="D41" s="13"/>
      <c r="E41" s="14"/>
      <c r="F41" s="14"/>
      <c r="G41" s="15"/>
      <c r="H41" s="14"/>
      <c r="I41" s="15"/>
      <c r="J41" s="16"/>
      <c r="K41" s="34"/>
      <c r="L41" t="s">
        <v>47</v>
      </c>
      <c r="M41" s="12" t="s">
        <v>46</v>
      </c>
      <c r="N41" s="17"/>
      <c r="O41" s="13"/>
    </row>
    <row r="42" spans="1:15" x14ac:dyDescent="0.25">
      <c r="A42" s="10">
        <v>3</v>
      </c>
      <c r="B42" s="10"/>
      <c r="C42" s="10"/>
      <c r="D42" s="10"/>
      <c r="E42" s="11"/>
      <c r="F42" s="11"/>
      <c r="G42" s="10"/>
      <c r="H42" s="10"/>
      <c r="I42" s="10"/>
      <c r="J42" s="33"/>
      <c r="K42" s="33"/>
      <c r="L42" s="10" t="s">
        <v>49</v>
      </c>
      <c r="M42" s="10" t="s">
        <v>48</v>
      </c>
      <c r="N42" s="10"/>
      <c r="O42" s="10"/>
    </row>
    <row r="43" spans="1:15" x14ac:dyDescent="0.25">
      <c r="A43" s="12">
        <v>4</v>
      </c>
      <c r="B43" s="17"/>
      <c r="C43" s="13"/>
      <c r="D43" s="13"/>
      <c r="E43" s="14"/>
      <c r="F43" s="14"/>
      <c r="G43" s="15"/>
      <c r="H43" s="14"/>
      <c r="I43" s="15"/>
      <c r="J43" s="16"/>
      <c r="K43" s="34"/>
      <c r="L43" t="s">
        <v>51</v>
      </c>
      <c r="M43" s="12" t="s">
        <v>50</v>
      </c>
      <c r="N43" s="17"/>
      <c r="O43" s="13"/>
    </row>
    <row r="44" spans="1:15" x14ac:dyDescent="0.25">
      <c r="A44" s="10">
        <v>5</v>
      </c>
      <c r="B44" s="10"/>
      <c r="C44" s="10"/>
      <c r="D44" s="10"/>
      <c r="E44" s="11"/>
      <c r="F44" s="11"/>
      <c r="G44" s="10"/>
      <c r="H44" s="10"/>
      <c r="I44" s="10"/>
      <c r="J44" s="33"/>
      <c r="K44" s="33"/>
      <c r="L44" s="10" t="s">
        <v>53</v>
      </c>
      <c r="M44" s="10" t="s">
        <v>52</v>
      </c>
      <c r="N44" s="10"/>
      <c r="O44" s="10"/>
    </row>
    <row r="45" spans="1:15" x14ac:dyDescent="0.25">
      <c r="A45" s="12">
        <v>6</v>
      </c>
      <c r="B45" s="17"/>
      <c r="C45" s="13"/>
      <c r="D45" s="13"/>
      <c r="E45" s="14"/>
      <c r="F45" s="14"/>
      <c r="G45" s="15"/>
      <c r="H45" s="14"/>
      <c r="I45" s="15"/>
      <c r="J45" s="16"/>
      <c r="K45" s="34"/>
      <c r="L45" t="s">
        <v>54</v>
      </c>
      <c r="M45" s="12" t="s">
        <v>13</v>
      </c>
      <c r="N45" s="17"/>
      <c r="O45" s="13"/>
    </row>
    <row r="46" spans="1:15" x14ac:dyDescent="0.25">
      <c r="A46" s="10">
        <v>7</v>
      </c>
      <c r="B46" s="10"/>
      <c r="C46" s="10"/>
      <c r="D46" s="10"/>
      <c r="E46" s="11"/>
      <c r="F46" s="11"/>
      <c r="G46" s="10"/>
      <c r="H46" s="10"/>
      <c r="I46" s="10"/>
      <c r="J46" s="33"/>
      <c r="K46" s="33"/>
      <c r="L46" s="10" t="s">
        <v>55</v>
      </c>
      <c r="M46" s="10" t="s">
        <v>2</v>
      </c>
      <c r="N46" s="10"/>
      <c r="O46" s="10"/>
    </row>
    <row r="47" spans="1:15" x14ac:dyDescent="0.25">
      <c r="A47" s="12">
        <v>8</v>
      </c>
      <c r="B47" s="17"/>
      <c r="C47" s="13"/>
      <c r="D47" s="13"/>
      <c r="E47" s="14"/>
      <c r="F47" s="14"/>
      <c r="G47" s="15"/>
      <c r="H47" s="14"/>
      <c r="I47" s="15"/>
      <c r="J47" s="16"/>
      <c r="K47" s="34"/>
      <c r="L47" t="s">
        <v>57</v>
      </c>
      <c r="M47" s="12" t="s">
        <v>56</v>
      </c>
      <c r="N47" s="17"/>
      <c r="O47" s="13"/>
    </row>
    <row r="48" spans="1:15" x14ac:dyDescent="0.25">
      <c r="A48" s="10">
        <v>1</v>
      </c>
      <c r="B48" s="10"/>
      <c r="C48" s="10"/>
      <c r="D48" s="10"/>
      <c r="E48" s="11"/>
      <c r="F48" s="11"/>
      <c r="G48" s="10"/>
      <c r="H48" s="10"/>
      <c r="I48" s="10"/>
      <c r="J48" s="33"/>
      <c r="K48" s="33"/>
      <c r="L48" s="10" t="s">
        <v>59</v>
      </c>
      <c r="M48" s="10" t="s">
        <v>58</v>
      </c>
      <c r="N48" s="10"/>
      <c r="O48" s="10"/>
    </row>
    <row r="49" spans="1:15" x14ac:dyDescent="0.25">
      <c r="A49" s="12">
        <v>2</v>
      </c>
      <c r="B49" s="17"/>
      <c r="C49" s="13"/>
      <c r="D49" s="13"/>
      <c r="E49" s="14"/>
      <c r="F49" s="14"/>
      <c r="G49" s="15"/>
      <c r="H49" s="14"/>
      <c r="I49" s="15"/>
      <c r="J49" s="16"/>
      <c r="K49" s="34"/>
      <c r="L49" t="s">
        <v>61</v>
      </c>
      <c r="M49" s="12" t="s">
        <v>60</v>
      </c>
      <c r="N49" s="17"/>
      <c r="O49" s="13"/>
    </row>
    <row r="50" spans="1:15" x14ac:dyDescent="0.25">
      <c r="A50" s="10">
        <v>1</v>
      </c>
      <c r="B50" s="10"/>
      <c r="C50" s="10"/>
      <c r="D50" s="10"/>
      <c r="E50" s="11"/>
      <c r="F50" s="11"/>
      <c r="G50" s="10"/>
      <c r="H50" s="10"/>
      <c r="I50" s="10"/>
      <c r="J50" s="33"/>
      <c r="K50" s="33"/>
      <c r="L50" s="10" t="s">
        <v>62</v>
      </c>
      <c r="M50" s="10" t="s">
        <v>27</v>
      </c>
      <c r="N50" s="10"/>
      <c r="O50" s="10"/>
    </row>
    <row r="51" spans="1:15" x14ac:dyDescent="0.25">
      <c r="A51" s="12">
        <v>2</v>
      </c>
      <c r="B51" s="17"/>
      <c r="C51" s="13"/>
      <c r="D51" s="13"/>
      <c r="E51" s="14"/>
      <c r="F51" s="14"/>
      <c r="G51" s="15"/>
      <c r="H51" s="14"/>
      <c r="I51" s="15"/>
      <c r="J51" s="16"/>
      <c r="K51" s="34"/>
      <c r="L51" t="s">
        <v>63</v>
      </c>
      <c r="M51" s="12" t="s">
        <v>27</v>
      </c>
      <c r="N51" s="17"/>
      <c r="O51" s="13"/>
    </row>
    <row r="52" spans="1:15" x14ac:dyDescent="0.25">
      <c r="A52" s="10">
        <v>3</v>
      </c>
      <c r="B52" s="10"/>
      <c r="C52" s="10"/>
      <c r="D52" s="10"/>
      <c r="E52" s="11"/>
      <c r="F52" s="11"/>
      <c r="G52" s="10"/>
      <c r="H52" s="10"/>
      <c r="I52" s="10"/>
      <c r="J52" s="33"/>
      <c r="K52" s="33"/>
      <c r="L52" s="10" t="s">
        <v>64</v>
      </c>
      <c r="M52" s="10"/>
      <c r="N52" s="10"/>
      <c r="O52" s="10"/>
    </row>
    <row r="53" spans="1:15" x14ac:dyDescent="0.25">
      <c r="A53" s="12">
        <v>4</v>
      </c>
      <c r="B53" s="17"/>
      <c r="C53" s="13"/>
      <c r="D53" s="13"/>
      <c r="E53" s="14"/>
      <c r="F53" s="14"/>
      <c r="G53" s="15"/>
      <c r="H53" s="14"/>
      <c r="I53" s="15"/>
      <c r="J53" s="16"/>
      <c r="K53" s="34"/>
      <c r="L53" t="s">
        <v>66</v>
      </c>
      <c r="M53" s="12" t="s">
        <v>65</v>
      </c>
      <c r="N53" s="17"/>
      <c r="O53" s="13"/>
    </row>
    <row r="54" spans="1:15" x14ac:dyDescent="0.25">
      <c r="A54" s="10">
        <v>5</v>
      </c>
      <c r="B54" s="10"/>
      <c r="C54" s="10"/>
      <c r="D54" s="10"/>
      <c r="E54" s="11"/>
      <c r="F54" s="11"/>
      <c r="G54" s="10"/>
      <c r="H54" s="10"/>
      <c r="I54" s="10"/>
      <c r="J54" s="33"/>
      <c r="K54" s="33"/>
      <c r="L54" s="10" t="s">
        <v>67</v>
      </c>
      <c r="M54" s="10" t="s">
        <v>2</v>
      </c>
      <c r="N54" s="10"/>
      <c r="O54" s="10"/>
    </row>
    <row r="55" spans="1:15" x14ac:dyDescent="0.25">
      <c r="A55" s="12">
        <v>6</v>
      </c>
      <c r="B55" s="17"/>
      <c r="C55" s="13"/>
      <c r="D55" s="13"/>
      <c r="E55" s="14"/>
      <c r="F55" s="14"/>
      <c r="G55" s="15"/>
      <c r="H55" s="14"/>
      <c r="I55" s="15"/>
      <c r="J55" s="16"/>
      <c r="K55" s="34"/>
      <c r="L55" t="s">
        <v>69</v>
      </c>
      <c r="M55" s="12" t="s">
        <v>68</v>
      </c>
      <c r="N55" s="17"/>
      <c r="O55" s="13"/>
    </row>
    <row r="56" spans="1:15" x14ac:dyDescent="0.25">
      <c r="A56" s="10">
        <v>7</v>
      </c>
      <c r="B56" s="10"/>
      <c r="C56" s="10"/>
      <c r="D56" s="10"/>
      <c r="E56" s="11"/>
      <c r="F56" s="11"/>
      <c r="G56" s="10"/>
      <c r="H56" s="10"/>
      <c r="I56" s="10"/>
      <c r="J56" s="33"/>
      <c r="K56" s="33"/>
      <c r="L56" s="10" t="s">
        <v>70</v>
      </c>
      <c r="M56" s="10" t="s">
        <v>65</v>
      </c>
      <c r="N56" s="10"/>
      <c r="O56" s="10"/>
    </row>
    <row r="57" spans="1:15" x14ac:dyDescent="0.25">
      <c r="A57" s="12">
        <v>8</v>
      </c>
      <c r="B57" s="17"/>
      <c r="C57" s="13"/>
      <c r="D57" s="13"/>
      <c r="E57" s="14"/>
      <c r="F57" s="14"/>
      <c r="G57" s="15"/>
      <c r="H57" s="14"/>
      <c r="I57" s="15"/>
      <c r="J57" s="16"/>
      <c r="K57" s="34"/>
      <c r="L57" t="s">
        <v>71</v>
      </c>
      <c r="M57" s="12" t="s">
        <v>65</v>
      </c>
      <c r="N57" s="17"/>
      <c r="O57" s="13"/>
    </row>
    <row r="58" spans="1:15" x14ac:dyDescent="0.25">
      <c r="A58" s="10">
        <v>1</v>
      </c>
      <c r="B58" s="10"/>
      <c r="C58" s="10"/>
      <c r="D58" s="10"/>
      <c r="E58" s="11"/>
      <c r="F58" s="11"/>
      <c r="G58" s="10"/>
      <c r="H58" s="10"/>
      <c r="I58" s="10"/>
      <c r="J58" s="33"/>
      <c r="K58" s="33"/>
      <c r="L58" s="10"/>
      <c r="M58" s="10"/>
      <c r="N58" s="10" t="s">
        <v>72</v>
      </c>
      <c r="O58" s="10" t="s">
        <v>73</v>
      </c>
    </row>
    <row r="59" spans="1:15" x14ac:dyDescent="0.25">
      <c r="A59" s="12">
        <v>2</v>
      </c>
      <c r="B59" s="17"/>
      <c r="C59" s="13"/>
      <c r="D59" s="13"/>
      <c r="E59" s="14"/>
      <c r="F59" s="14"/>
      <c r="G59" s="15"/>
      <c r="H59" s="14"/>
      <c r="I59" s="15"/>
      <c r="J59" s="16"/>
      <c r="K59" s="34"/>
      <c r="M59" s="12"/>
      <c r="N59" s="17" t="s">
        <v>74</v>
      </c>
      <c r="O59" s="13" t="s">
        <v>75</v>
      </c>
    </row>
    <row r="60" spans="1:15" x14ac:dyDescent="0.25">
      <c r="A60" s="10">
        <v>3</v>
      </c>
      <c r="B60" s="10"/>
      <c r="C60" s="10"/>
      <c r="D60" s="10"/>
      <c r="E60" s="11"/>
      <c r="F60" s="11"/>
      <c r="G60" s="10"/>
      <c r="H60" s="10"/>
      <c r="I60" s="10"/>
      <c r="J60" s="33"/>
      <c r="K60" s="33"/>
      <c r="L60" s="10"/>
      <c r="M60" s="10"/>
      <c r="N60" s="10" t="s">
        <v>76</v>
      </c>
      <c r="O60" s="10" t="s">
        <v>77</v>
      </c>
    </row>
    <row r="61" spans="1:15" x14ac:dyDescent="0.25">
      <c r="A61" s="12">
        <v>4</v>
      </c>
      <c r="B61" s="17"/>
      <c r="C61" s="13"/>
      <c r="D61" s="13"/>
      <c r="E61" s="14"/>
      <c r="F61" s="14"/>
      <c r="G61" s="15"/>
      <c r="H61" s="14"/>
      <c r="I61" s="15"/>
      <c r="J61" s="16"/>
      <c r="K61" s="34"/>
      <c r="M61" s="12"/>
      <c r="N61" s="17" t="s">
        <v>78</v>
      </c>
      <c r="O61" s="13" t="s">
        <v>79</v>
      </c>
    </row>
    <row r="62" spans="1:15" x14ac:dyDescent="0.25">
      <c r="A62" s="10">
        <v>5</v>
      </c>
      <c r="B62" s="10"/>
      <c r="C62" s="10"/>
      <c r="D62" s="10"/>
      <c r="E62" s="11"/>
      <c r="F62" s="11"/>
      <c r="G62" s="10"/>
      <c r="H62" s="10"/>
      <c r="I62" s="10"/>
      <c r="J62" s="33"/>
      <c r="K62" s="33"/>
      <c r="L62" s="10"/>
      <c r="M62" s="10"/>
      <c r="N62" s="10" t="s">
        <v>80</v>
      </c>
      <c r="O62" s="10" t="s">
        <v>81</v>
      </c>
    </row>
    <row r="63" spans="1:15" x14ac:dyDescent="0.25">
      <c r="A63" s="12">
        <v>6</v>
      </c>
      <c r="B63" s="17"/>
      <c r="C63" s="13"/>
      <c r="D63" s="13"/>
      <c r="E63" s="14"/>
      <c r="F63" s="14"/>
      <c r="G63" s="15"/>
      <c r="H63" s="14"/>
      <c r="I63" s="15"/>
      <c r="J63" s="16"/>
      <c r="K63" s="34"/>
      <c r="M63" s="12"/>
      <c r="N63" s="17" t="s">
        <v>82</v>
      </c>
      <c r="O63" s="13" t="s">
        <v>83</v>
      </c>
    </row>
    <row r="64" spans="1:15" x14ac:dyDescent="0.25">
      <c r="A64" s="10">
        <v>7</v>
      </c>
      <c r="B64" s="10"/>
      <c r="C64" s="10"/>
      <c r="D64" s="10"/>
      <c r="E64" s="11"/>
      <c r="F64" s="11"/>
      <c r="G64" s="10"/>
      <c r="H64" s="10"/>
      <c r="I64" s="10"/>
      <c r="J64" s="33"/>
      <c r="K64" s="33"/>
      <c r="L64" s="10"/>
      <c r="M64" s="10"/>
      <c r="N64" s="10" t="s">
        <v>84</v>
      </c>
      <c r="O64" s="10" t="s">
        <v>77</v>
      </c>
    </row>
    <row r="65" spans="1:15" x14ac:dyDescent="0.25">
      <c r="A65" s="12">
        <v>8</v>
      </c>
      <c r="B65" s="17"/>
      <c r="C65" s="13"/>
      <c r="D65" s="13"/>
      <c r="E65" s="14"/>
      <c r="F65" s="14"/>
      <c r="G65" s="15"/>
      <c r="H65" s="14"/>
      <c r="I65" s="15"/>
      <c r="J65" s="16"/>
      <c r="K65" s="34"/>
      <c r="M65" s="12"/>
      <c r="N65" s="17" t="s">
        <v>85</v>
      </c>
      <c r="O65" s="13" t="s">
        <v>86</v>
      </c>
    </row>
    <row r="66" spans="1:15" x14ac:dyDescent="0.25">
      <c r="A66" s="10">
        <v>1</v>
      </c>
      <c r="B66" s="10"/>
      <c r="C66" s="10"/>
      <c r="D66" s="10"/>
      <c r="E66" s="11"/>
      <c r="F66" s="11"/>
      <c r="G66" s="10"/>
      <c r="H66" s="10"/>
      <c r="I66" s="10"/>
      <c r="J66" s="33"/>
      <c r="K66" s="33"/>
      <c r="L66" s="10"/>
      <c r="M66" s="10"/>
      <c r="N66" s="10" t="s">
        <v>87</v>
      </c>
      <c r="O66" s="10" t="s">
        <v>88</v>
      </c>
    </row>
    <row r="67" spans="1:15" x14ac:dyDescent="0.25">
      <c r="A67" s="12">
        <v>2</v>
      </c>
      <c r="B67" s="17"/>
      <c r="C67" s="13"/>
      <c r="D67" s="13"/>
      <c r="E67" s="14"/>
      <c r="F67" s="14"/>
      <c r="G67" s="15"/>
      <c r="H67" s="14"/>
      <c r="I67" s="15"/>
      <c r="J67" s="16"/>
      <c r="K67" s="34"/>
      <c r="M67" s="12"/>
      <c r="N67" s="17" t="s">
        <v>89</v>
      </c>
      <c r="O67" s="13" t="s">
        <v>90</v>
      </c>
    </row>
    <row r="68" spans="1:15" x14ac:dyDescent="0.25">
      <c r="A68" s="10">
        <v>3</v>
      </c>
      <c r="B68" s="10"/>
      <c r="C68" s="10"/>
      <c r="D68" s="10"/>
      <c r="E68" s="11"/>
      <c r="F68" s="11"/>
      <c r="G68" s="10"/>
      <c r="H68" s="10"/>
      <c r="I68" s="10"/>
      <c r="J68" s="33"/>
      <c r="K68" s="33"/>
      <c r="L68" s="10"/>
      <c r="M68" s="10"/>
      <c r="N68" s="10" t="s">
        <v>91</v>
      </c>
      <c r="O68" s="10" t="s">
        <v>92</v>
      </c>
    </row>
    <row r="69" spans="1:15" x14ac:dyDescent="0.25">
      <c r="A69" s="12">
        <v>4</v>
      </c>
      <c r="B69" s="17"/>
      <c r="C69" s="13"/>
      <c r="D69" s="13"/>
      <c r="E69" s="14"/>
      <c r="F69" s="14"/>
      <c r="G69" s="15"/>
      <c r="H69" s="14"/>
      <c r="I69" s="15"/>
      <c r="J69" s="16"/>
      <c r="K69" s="34"/>
      <c r="M69" s="12"/>
      <c r="N69" s="17" t="s">
        <v>93</v>
      </c>
      <c r="O69" s="13" t="s">
        <v>94</v>
      </c>
    </row>
    <row r="70" spans="1:15" x14ac:dyDescent="0.25">
      <c r="A70" s="10">
        <v>5</v>
      </c>
      <c r="B70" s="10"/>
      <c r="C70" s="10"/>
      <c r="D70" s="10"/>
      <c r="E70" s="11"/>
      <c r="F70" s="11"/>
      <c r="G70" s="10"/>
      <c r="H70" s="10"/>
      <c r="I70" s="10"/>
      <c r="J70" s="33"/>
      <c r="K70" s="33"/>
      <c r="L70" s="10"/>
      <c r="M70" s="10"/>
      <c r="N70" s="10" t="s">
        <v>95</v>
      </c>
      <c r="O70" s="10" t="s">
        <v>96</v>
      </c>
    </row>
    <row r="71" spans="1:15" x14ac:dyDescent="0.25">
      <c r="A71" s="12">
        <v>6</v>
      </c>
      <c r="B71" s="17"/>
      <c r="C71" s="13"/>
      <c r="D71" s="13"/>
      <c r="E71" s="14"/>
      <c r="F71" s="14"/>
      <c r="G71" s="15"/>
      <c r="H71" s="14"/>
      <c r="I71" s="15"/>
      <c r="J71" s="16"/>
      <c r="K71" s="34"/>
      <c r="M71" s="12"/>
      <c r="N71" s="17" t="s">
        <v>97</v>
      </c>
      <c r="O71" s="13" t="s">
        <v>98</v>
      </c>
    </row>
    <row r="72" spans="1:15" x14ac:dyDescent="0.25">
      <c r="A72" s="10">
        <v>7</v>
      </c>
      <c r="B72" s="10"/>
      <c r="C72" s="10"/>
      <c r="D72" s="10"/>
      <c r="E72" s="11"/>
      <c r="F72" s="11"/>
      <c r="G72" s="10"/>
      <c r="H72" s="10"/>
      <c r="I72" s="10"/>
      <c r="J72" s="33"/>
      <c r="K72" s="33"/>
      <c r="L72" s="10"/>
      <c r="M72" s="10"/>
      <c r="N72" s="10" t="s">
        <v>99</v>
      </c>
      <c r="O72" s="10" t="s">
        <v>98</v>
      </c>
    </row>
    <row r="73" spans="1:15" x14ac:dyDescent="0.25">
      <c r="A73" s="12">
        <v>8</v>
      </c>
      <c r="B73" s="17"/>
      <c r="C73" s="13"/>
      <c r="D73" s="13"/>
      <c r="E73" s="14"/>
      <c r="F73" s="14"/>
      <c r="G73" s="15"/>
      <c r="H73" s="14"/>
      <c r="I73" s="15"/>
      <c r="J73" s="16"/>
      <c r="K73" s="34"/>
      <c r="M73" s="12"/>
      <c r="N73" s="17" t="s">
        <v>100</v>
      </c>
      <c r="O73" s="13" t="s">
        <v>101</v>
      </c>
    </row>
    <row r="74" spans="1:15" x14ac:dyDescent="0.25">
      <c r="A74" s="10">
        <v>1</v>
      </c>
      <c r="B74" s="10"/>
      <c r="C74" s="10"/>
      <c r="D74" s="10"/>
      <c r="E74" s="11"/>
      <c r="F74" s="11"/>
      <c r="G74" s="10"/>
      <c r="H74" s="10"/>
      <c r="I74" s="10"/>
      <c r="J74" s="33"/>
      <c r="K74" s="33"/>
      <c r="L74" s="10"/>
      <c r="M74" s="10"/>
      <c r="N74" s="10" t="s">
        <v>102</v>
      </c>
      <c r="O74" s="10" t="s">
        <v>103</v>
      </c>
    </row>
    <row r="75" spans="1:15" x14ac:dyDescent="0.25">
      <c r="A75" s="12">
        <v>2</v>
      </c>
      <c r="B75" s="17"/>
      <c r="C75" s="13"/>
      <c r="D75" s="13"/>
      <c r="E75" s="14"/>
      <c r="F75" s="14"/>
      <c r="G75" s="15"/>
      <c r="H75" s="14"/>
      <c r="I75" s="15"/>
      <c r="J75" s="16"/>
      <c r="K75" s="34"/>
      <c r="M75" s="12"/>
      <c r="N75" s="17" t="s">
        <v>104</v>
      </c>
      <c r="O75" s="13" t="s">
        <v>103</v>
      </c>
    </row>
    <row r="76" spans="1:15" x14ac:dyDescent="0.25">
      <c r="A76" s="10">
        <v>3</v>
      </c>
      <c r="B76" s="10"/>
      <c r="C76" s="10"/>
      <c r="D76" s="10"/>
      <c r="E76" s="11"/>
      <c r="F76" s="11"/>
      <c r="G76" s="10"/>
      <c r="H76" s="10"/>
      <c r="I76" s="10"/>
      <c r="J76" s="33"/>
      <c r="K76" s="33"/>
      <c r="L76" s="10"/>
      <c r="M76" s="10"/>
      <c r="N76" s="10" t="s">
        <v>105</v>
      </c>
      <c r="O76" s="10" t="s">
        <v>106</v>
      </c>
    </row>
    <row r="77" spans="1:15" x14ac:dyDescent="0.25">
      <c r="A77" s="12">
        <v>4</v>
      </c>
      <c r="B77" s="17"/>
      <c r="C77" s="13"/>
      <c r="D77" s="13"/>
      <c r="E77" s="14"/>
      <c r="F77" s="14"/>
      <c r="G77" s="15"/>
      <c r="H77" s="14"/>
      <c r="I77" s="15"/>
      <c r="J77" s="16"/>
      <c r="K77" s="34"/>
      <c r="M77" s="12"/>
      <c r="N77" s="17" t="s">
        <v>107</v>
      </c>
      <c r="O77" s="13" t="s">
        <v>79</v>
      </c>
    </row>
    <row r="78" spans="1:15" x14ac:dyDescent="0.25">
      <c r="A78" s="10">
        <v>5</v>
      </c>
      <c r="B78" s="10"/>
      <c r="C78" s="10"/>
      <c r="D78" s="10"/>
      <c r="E78" s="11"/>
      <c r="F78" s="11"/>
      <c r="G78" s="10"/>
      <c r="H78" s="10"/>
      <c r="I78" s="10"/>
      <c r="J78" s="33"/>
      <c r="K78" s="33"/>
      <c r="L78" s="10"/>
      <c r="M78" s="10"/>
      <c r="N78" s="10" t="s">
        <v>108</v>
      </c>
      <c r="O78" s="10" t="s">
        <v>109</v>
      </c>
    </row>
    <row r="79" spans="1:15" x14ac:dyDescent="0.25">
      <c r="A79" s="12">
        <v>6</v>
      </c>
      <c r="B79" s="17"/>
      <c r="C79" s="13"/>
      <c r="D79" s="13"/>
      <c r="E79" s="14"/>
      <c r="F79" s="14"/>
      <c r="G79" s="15"/>
      <c r="H79" s="14"/>
      <c r="I79" s="15"/>
      <c r="J79" s="16"/>
      <c r="K79" s="34"/>
      <c r="M79" s="12"/>
      <c r="N79" s="17" t="s">
        <v>110</v>
      </c>
      <c r="O79" s="13" t="s">
        <v>111</v>
      </c>
    </row>
    <row r="80" spans="1:15" x14ac:dyDescent="0.25">
      <c r="A80" s="10">
        <v>7</v>
      </c>
      <c r="B80" s="10"/>
      <c r="C80" s="10"/>
      <c r="D80" s="10"/>
      <c r="E80" s="11"/>
      <c r="F80" s="11"/>
      <c r="G80" s="10"/>
      <c r="H80" s="10"/>
      <c r="I80" s="10"/>
      <c r="J80" s="33"/>
      <c r="K80" s="33"/>
      <c r="L80" s="10"/>
      <c r="M80" s="10"/>
      <c r="N80" s="10" t="s">
        <v>112</v>
      </c>
      <c r="O80" s="10" t="s">
        <v>109</v>
      </c>
    </row>
    <row r="81" spans="1:15" x14ac:dyDescent="0.25">
      <c r="A81" s="12">
        <v>8</v>
      </c>
      <c r="B81" s="17"/>
      <c r="C81" s="13"/>
      <c r="D81" s="13"/>
      <c r="E81" s="14"/>
      <c r="F81" s="14"/>
      <c r="G81" s="15"/>
      <c r="H81" s="14"/>
      <c r="I81" s="15"/>
      <c r="J81" s="16"/>
      <c r="K81" s="34"/>
      <c r="M81" s="12"/>
      <c r="N81" s="17" t="s">
        <v>113</v>
      </c>
      <c r="O81" s="13" t="s">
        <v>109</v>
      </c>
    </row>
    <row r="82" spans="1:15" x14ac:dyDescent="0.25">
      <c r="A82" s="10">
        <v>1</v>
      </c>
      <c r="B82" s="10"/>
      <c r="C82" s="10"/>
      <c r="D82" s="10"/>
      <c r="E82" s="11"/>
      <c r="F82" s="11"/>
      <c r="G82" s="10"/>
      <c r="H82" s="10"/>
      <c r="I82" s="10"/>
      <c r="J82" s="33"/>
      <c r="K82" s="33"/>
      <c r="L82" s="10"/>
      <c r="M82" s="10"/>
      <c r="N82" s="10" t="s">
        <v>114</v>
      </c>
      <c r="O82" s="10" t="s">
        <v>111</v>
      </c>
    </row>
    <row r="83" spans="1:15" x14ac:dyDescent="0.25">
      <c r="A83" s="12">
        <v>2</v>
      </c>
      <c r="B83" s="17"/>
      <c r="C83" s="13"/>
      <c r="D83" s="13"/>
      <c r="E83" s="14"/>
      <c r="F83" s="14"/>
      <c r="G83" s="15"/>
      <c r="H83" s="14"/>
      <c r="I83" s="15"/>
      <c r="J83" s="16"/>
      <c r="K83" s="34"/>
      <c r="M83" s="12"/>
      <c r="N83" s="17" t="s">
        <v>115</v>
      </c>
      <c r="O83" s="13" t="s">
        <v>111</v>
      </c>
    </row>
    <row r="84" spans="1:15" x14ac:dyDescent="0.25">
      <c r="A84" s="10">
        <v>3</v>
      </c>
      <c r="B84" s="10"/>
      <c r="C84" s="10"/>
      <c r="D84" s="10"/>
      <c r="E84" s="11"/>
      <c r="F84" s="11"/>
      <c r="G84" s="10"/>
      <c r="H84" s="10"/>
      <c r="I84" s="10"/>
      <c r="J84" s="33"/>
      <c r="K84" s="33"/>
      <c r="L84" s="10"/>
      <c r="M84" s="10"/>
      <c r="N84" s="10" t="s">
        <v>116</v>
      </c>
      <c r="O84" s="10" t="s">
        <v>117</v>
      </c>
    </row>
    <row r="85" spans="1:15" x14ac:dyDescent="0.25">
      <c r="A85" s="12">
        <v>4</v>
      </c>
      <c r="B85" s="17"/>
      <c r="C85" s="13"/>
      <c r="D85" s="13"/>
      <c r="E85" s="14"/>
      <c r="F85" s="14"/>
      <c r="G85" s="15"/>
      <c r="H85" s="14"/>
      <c r="I85" s="15"/>
      <c r="J85" s="16"/>
      <c r="K85" s="34"/>
      <c r="M85" s="12"/>
      <c r="N85" s="17" t="s">
        <v>118</v>
      </c>
      <c r="O85" s="13" t="s">
        <v>117</v>
      </c>
    </row>
    <row r="86" spans="1:15" x14ac:dyDescent="0.25">
      <c r="A86" s="10">
        <v>5</v>
      </c>
      <c r="B86" s="10"/>
      <c r="C86" s="10"/>
      <c r="D86" s="10"/>
      <c r="E86" s="11"/>
      <c r="F86" s="11"/>
      <c r="G86" s="10"/>
      <c r="H86" s="10"/>
      <c r="I86" s="10"/>
      <c r="J86" s="33"/>
      <c r="K86" s="33"/>
      <c r="L86" s="10"/>
      <c r="M86" s="10"/>
      <c r="N86" s="10" t="s">
        <v>119</v>
      </c>
      <c r="O86" s="10" t="s">
        <v>120</v>
      </c>
    </row>
    <row r="87" spans="1:15" x14ac:dyDescent="0.25">
      <c r="A87" s="12">
        <v>6</v>
      </c>
      <c r="B87" s="17"/>
      <c r="C87" s="13"/>
      <c r="D87" s="13"/>
      <c r="E87" s="14"/>
      <c r="F87" s="14"/>
      <c r="G87" s="15"/>
      <c r="H87" s="14"/>
      <c r="I87" s="15"/>
      <c r="J87" s="16"/>
      <c r="K87" s="34"/>
      <c r="M87" s="12"/>
      <c r="N87" s="17" t="s">
        <v>121</v>
      </c>
      <c r="O87" s="13" t="s">
        <v>122</v>
      </c>
    </row>
    <row r="88" spans="1:15" x14ac:dyDescent="0.25">
      <c r="A88" s="9"/>
      <c r="B88" s="17"/>
      <c r="C88" s="17"/>
      <c r="D88" s="17"/>
      <c r="E88" s="17"/>
      <c r="F88" s="17"/>
      <c r="G88" s="18"/>
      <c r="H88" s="18"/>
      <c r="I88" s="19"/>
      <c r="J88" s="17"/>
      <c r="K88" s="3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F0A3-18C9-4DA2-BFC0-AE50EEC2477A}">
  <sheetPr codeName="Foglio9"/>
  <dimension ref="A1:O88"/>
  <sheetViews>
    <sheetView showGridLines="0" workbookViewId="0">
      <selection activeCell="K1" sqref="K1:K1048576"/>
    </sheetView>
  </sheetViews>
  <sheetFormatPr defaultRowHeight="15" x14ac:dyDescent="0.25"/>
  <cols>
    <col min="1" max="1" width="12" style="24" bestFit="1" customWidth="1"/>
    <col min="2" max="2" width="16.42578125" style="24" bestFit="1" customWidth="1"/>
    <col min="3" max="3" width="16.28515625" style="24" bestFit="1" customWidth="1"/>
    <col min="4" max="4" width="13.28515625" style="24" bestFit="1" customWidth="1"/>
    <col min="5" max="6" width="10.42578125" style="24" bestFit="1" customWidth="1"/>
    <col min="7" max="7" width="9.5703125" style="24" bestFit="1" customWidth="1"/>
    <col min="8" max="8" width="10.42578125" style="24" bestFit="1" customWidth="1"/>
    <col min="9" max="9" width="9.5703125" style="25" bestFit="1" customWidth="1"/>
    <col min="10" max="10" width="18.28515625" style="24" bestFit="1" customWidth="1"/>
    <col min="11" max="11" width="23.28515625" style="24" bestFit="1" customWidth="1"/>
    <col min="12" max="12" width="30.85546875" bestFit="1" customWidth="1"/>
    <col min="13" max="13" width="51.42578125" bestFit="1" customWidth="1"/>
    <col min="14" max="14" width="28.28515625" bestFit="1" customWidth="1"/>
    <col min="15" max="15" width="6.140625" bestFit="1" customWidth="1"/>
    <col min="17" max="18" width="6.42578125" bestFit="1" customWidth="1"/>
    <col min="19" max="25" width="21.5703125" bestFit="1" customWidth="1"/>
    <col min="26" max="26" width="18.7109375" bestFit="1" customWidth="1"/>
  </cols>
  <sheetData>
    <row r="1" spans="1:15" x14ac:dyDescent="0.25">
      <c r="A1" s="6" t="s">
        <v>127</v>
      </c>
      <c r="B1" s="7" t="s">
        <v>126</v>
      </c>
      <c r="C1" s="7" t="s">
        <v>136</v>
      </c>
      <c r="D1" s="7" t="s">
        <v>125</v>
      </c>
      <c r="E1" s="7" t="s">
        <v>128</v>
      </c>
      <c r="F1" s="7" t="s">
        <v>158</v>
      </c>
      <c r="G1" s="7" t="s">
        <v>130</v>
      </c>
      <c r="H1" s="7" t="s">
        <v>131</v>
      </c>
      <c r="I1" s="8" t="s">
        <v>132</v>
      </c>
      <c r="J1" s="7" t="s">
        <v>164</v>
      </c>
      <c r="K1" s="7" t="s">
        <v>187</v>
      </c>
      <c r="L1" s="7" t="s">
        <v>134</v>
      </c>
      <c r="M1" s="7" t="s">
        <v>135</v>
      </c>
      <c r="N1" s="7" t="s">
        <v>123</v>
      </c>
      <c r="O1" s="7" t="s">
        <v>124</v>
      </c>
    </row>
    <row r="2" spans="1:15" x14ac:dyDescent="0.25">
      <c r="A2" s="10" t="s">
        <v>176</v>
      </c>
      <c r="B2" s="10" t="s">
        <v>137</v>
      </c>
      <c r="C2" s="10" t="s">
        <v>148</v>
      </c>
      <c r="D2" s="10" t="s">
        <v>153</v>
      </c>
      <c r="E2" s="11">
        <v>45658</v>
      </c>
      <c r="F2" s="11">
        <v>45869</v>
      </c>
      <c r="G2" s="10">
        <f>+'20'!$F2-'20'!$E2</f>
        <v>211</v>
      </c>
      <c r="H2" s="10">
        <f t="shared" ref="H2:H9" ca="1" si="0">+TODAY()</f>
        <v>45817</v>
      </c>
      <c r="I2" s="10">
        <f ca="1">+'20'!$H2-'20'!$E2</f>
        <v>159</v>
      </c>
      <c r="J2" s="33">
        <f ca="1">+'20'!$I2/'20'!$G2</f>
        <v>0.75355450236966826</v>
      </c>
      <c r="K2" s="33" t="s">
        <v>188</v>
      </c>
      <c r="L2" s="10"/>
      <c r="M2" s="10"/>
      <c r="N2" s="10"/>
      <c r="O2" s="10"/>
    </row>
    <row r="3" spans="1:15" x14ac:dyDescent="0.25">
      <c r="A3" s="12" t="s">
        <v>177</v>
      </c>
      <c r="B3" s="17" t="s">
        <v>138</v>
      </c>
      <c r="C3" s="13" t="s">
        <v>148</v>
      </c>
      <c r="D3" s="13" t="s">
        <v>154</v>
      </c>
      <c r="E3" s="14">
        <v>45659</v>
      </c>
      <c r="F3" s="14">
        <v>45870</v>
      </c>
      <c r="G3" s="15">
        <f>+'20'!$F3-'20'!$E3</f>
        <v>211</v>
      </c>
      <c r="H3" s="14">
        <f t="shared" ca="1" si="0"/>
        <v>45817</v>
      </c>
      <c r="I3" s="15">
        <f ca="1">+'20'!$H3-'20'!$E3</f>
        <v>158</v>
      </c>
      <c r="J3" s="16">
        <f ca="1">+'20'!$I3/'20'!$G3</f>
        <v>0.74881516587677721</v>
      </c>
      <c r="K3" s="34" t="s">
        <v>189</v>
      </c>
      <c r="M3" s="12"/>
      <c r="N3" s="17"/>
      <c r="O3" s="13"/>
    </row>
    <row r="4" spans="1:15" x14ac:dyDescent="0.25">
      <c r="A4" s="10" t="s">
        <v>178</v>
      </c>
      <c r="B4" s="10" t="s">
        <v>139</v>
      </c>
      <c r="C4" s="10" t="s">
        <v>175</v>
      </c>
      <c r="D4" s="10" t="s">
        <v>155</v>
      </c>
      <c r="E4" s="11">
        <v>45660</v>
      </c>
      <c r="F4" s="11">
        <v>45871</v>
      </c>
      <c r="G4" s="10">
        <f>+'20'!$F4-'20'!$E4</f>
        <v>211</v>
      </c>
      <c r="H4" s="10">
        <f t="shared" ca="1" si="0"/>
        <v>45817</v>
      </c>
      <c r="I4" s="10">
        <f ca="1">+'20'!$H4-'20'!$E4</f>
        <v>157</v>
      </c>
      <c r="J4" s="33">
        <f ca="1">+'20'!$I4/'20'!$G4</f>
        <v>0.74407582938388628</v>
      </c>
      <c r="K4" s="33" t="s">
        <v>190</v>
      </c>
      <c r="L4" s="10"/>
      <c r="M4" s="10"/>
      <c r="N4" s="10"/>
      <c r="O4" s="10"/>
    </row>
    <row r="5" spans="1:15" x14ac:dyDescent="0.25">
      <c r="A5" s="12" t="s">
        <v>179</v>
      </c>
      <c r="B5" s="17" t="s">
        <v>140</v>
      </c>
      <c r="C5" s="13" t="s">
        <v>150</v>
      </c>
      <c r="D5" s="13" t="s">
        <v>155</v>
      </c>
      <c r="E5" s="14">
        <v>45661</v>
      </c>
      <c r="F5" s="14">
        <v>45872</v>
      </c>
      <c r="G5" s="15">
        <f>+'20'!$F5-'20'!$E5</f>
        <v>211</v>
      </c>
      <c r="H5" s="14">
        <f t="shared" ca="1" si="0"/>
        <v>45817</v>
      </c>
      <c r="I5" s="15">
        <f ca="1">+'20'!$H5-'20'!$E5</f>
        <v>156</v>
      </c>
      <c r="J5" s="16">
        <f ca="1">+'20'!$I5/'20'!$G5</f>
        <v>0.73933649289099523</v>
      </c>
      <c r="K5" s="34" t="s">
        <v>191</v>
      </c>
      <c r="M5" s="12"/>
      <c r="N5" s="17"/>
      <c r="O5" s="13"/>
    </row>
    <row r="6" spans="1:15" x14ac:dyDescent="0.25">
      <c r="A6" s="10" t="s">
        <v>180</v>
      </c>
      <c r="B6" s="10" t="s">
        <v>141</v>
      </c>
      <c r="C6" s="10" t="s">
        <v>151</v>
      </c>
      <c r="D6" s="10" t="s">
        <v>156</v>
      </c>
      <c r="E6" s="11">
        <v>45662</v>
      </c>
      <c r="F6" s="11">
        <v>45873</v>
      </c>
      <c r="G6" s="10">
        <f>+'20'!$F6-'20'!$E6</f>
        <v>211</v>
      </c>
      <c r="H6" s="10">
        <f t="shared" ca="1" si="0"/>
        <v>45817</v>
      </c>
      <c r="I6" s="10">
        <f ca="1">+'20'!$H6-'20'!$E6</f>
        <v>155</v>
      </c>
      <c r="J6" s="33">
        <f ca="1">+'20'!$I6/'20'!$G6</f>
        <v>0.7345971563981043</v>
      </c>
      <c r="K6" s="33" t="s">
        <v>192</v>
      </c>
      <c r="L6" s="10"/>
      <c r="M6" s="10"/>
      <c r="N6" s="10"/>
      <c r="O6" s="10"/>
    </row>
    <row r="7" spans="1:15" x14ac:dyDescent="0.25">
      <c r="A7" s="12" t="s">
        <v>181</v>
      </c>
      <c r="B7" s="17" t="s">
        <v>142</v>
      </c>
      <c r="C7" s="13" t="s">
        <v>152</v>
      </c>
      <c r="D7" s="13" t="s">
        <v>157</v>
      </c>
      <c r="E7" s="14">
        <v>45663</v>
      </c>
      <c r="F7" s="14">
        <v>45874</v>
      </c>
      <c r="G7" s="15">
        <f>+'20'!$F7-'20'!$E7</f>
        <v>211</v>
      </c>
      <c r="H7" s="14">
        <f t="shared" ca="1" si="0"/>
        <v>45817</v>
      </c>
      <c r="I7" s="15">
        <f ca="1">+'20'!$H7-'20'!$E7</f>
        <v>154</v>
      </c>
      <c r="J7" s="16">
        <f ca="1">+'20'!$I7/'20'!$G7</f>
        <v>0.72985781990521326</v>
      </c>
      <c r="K7" s="34" t="s">
        <v>193</v>
      </c>
      <c r="M7" s="12"/>
      <c r="N7" s="17"/>
      <c r="O7" s="13"/>
    </row>
    <row r="8" spans="1:15" x14ac:dyDescent="0.25">
      <c r="A8" s="10" t="s">
        <v>182</v>
      </c>
      <c r="B8" s="10" t="s">
        <v>159</v>
      </c>
      <c r="C8" s="10" t="s">
        <v>161</v>
      </c>
      <c r="D8" s="10" t="s">
        <v>163</v>
      </c>
      <c r="E8" s="11">
        <v>45664</v>
      </c>
      <c r="F8" s="11">
        <v>45875</v>
      </c>
      <c r="G8" s="10">
        <f>+'20'!$F8-'20'!$E8</f>
        <v>211</v>
      </c>
      <c r="H8" s="10">
        <f t="shared" ca="1" si="0"/>
        <v>45817</v>
      </c>
      <c r="I8" s="10">
        <f ca="1">+'20'!$H8-'20'!$E8</f>
        <v>153</v>
      </c>
      <c r="J8" s="33">
        <f ca="1">+'20'!$I8/'20'!$G8</f>
        <v>0.72511848341232232</v>
      </c>
      <c r="K8" s="33" t="s">
        <v>194</v>
      </c>
      <c r="L8" s="10"/>
      <c r="M8" s="10"/>
      <c r="N8" s="10"/>
      <c r="O8" s="10"/>
    </row>
    <row r="9" spans="1:15" x14ac:dyDescent="0.25">
      <c r="A9" s="12" t="s">
        <v>183</v>
      </c>
      <c r="B9" s="17" t="s">
        <v>160</v>
      </c>
      <c r="C9" s="13" t="s">
        <v>161</v>
      </c>
      <c r="D9" s="13" t="s">
        <v>163</v>
      </c>
      <c r="E9" s="14">
        <v>45665</v>
      </c>
      <c r="F9" s="14">
        <v>45876</v>
      </c>
      <c r="G9" s="15">
        <f>+'20'!$F9-'20'!$E9</f>
        <v>211</v>
      </c>
      <c r="H9" s="14">
        <f t="shared" ca="1" si="0"/>
        <v>45817</v>
      </c>
      <c r="I9" s="15">
        <f ca="1">+'20'!$H9-'20'!$E9</f>
        <v>152</v>
      </c>
      <c r="J9" s="16">
        <f ca="1">+'20'!$I9/'20'!$G9</f>
        <v>0.72037914691943128</v>
      </c>
      <c r="K9" s="34" t="s">
        <v>195</v>
      </c>
      <c r="M9" s="12"/>
      <c r="N9" s="17"/>
      <c r="O9" s="13"/>
    </row>
    <row r="10" spans="1:15" x14ac:dyDescent="0.25">
      <c r="A10" s="10" t="s">
        <v>176</v>
      </c>
      <c r="B10" s="10"/>
      <c r="C10" s="10"/>
      <c r="D10" s="10"/>
      <c r="E10" s="11"/>
      <c r="F10" s="11"/>
      <c r="G10" s="10"/>
      <c r="H10" s="10"/>
      <c r="I10" s="10"/>
      <c r="J10" s="33"/>
      <c r="K10" s="33"/>
      <c r="L10" s="10" t="s">
        <v>0</v>
      </c>
      <c r="M10" s="10"/>
      <c r="N10" s="10"/>
      <c r="O10" s="10"/>
    </row>
    <row r="11" spans="1:15" x14ac:dyDescent="0.25">
      <c r="A11" s="12" t="s">
        <v>177</v>
      </c>
      <c r="B11" s="17"/>
      <c r="C11" s="13"/>
      <c r="D11" s="13"/>
      <c r="E11" s="14"/>
      <c r="F11" s="14"/>
      <c r="G11" s="15"/>
      <c r="H11" s="14"/>
      <c r="I11" s="15"/>
      <c r="J11" s="16"/>
      <c r="K11" s="34"/>
      <c r="L11" t="s">
        <v>1</v>
      </c>
      <c r="M11" s="12" t="s">
        <v>2</v>
      </c>
      <c r="N11" s="17"/>
      <c r="O11" s="13"/>
    </row>
    <row r="12" spans="1:15" x14ac:dyDescent="0.25">
      <c r="A12" s="10" t="s">
        <v>178</v>
      </c>
      <c r="B12" s="10"/>
      <c r="C12" s="10"/>
      <c r="D12" s="10"/>
      <c r="E12" s="11"/>
      <c r="F12" s="11"/>
      <c r="G12" s="10"/>
      <c r="H12" s="10"/>
      <c r="I12" s="10"/>
      <c r="J12" s="33"/>
      <c r="K12" s="33"/>
      <c r="L12" s="10" t="s">
        <v>3</v>
      </c>
      <c r="M12" s="10" t="s">
        <v>4</v>
      </c>
      <c r="N12" s="10"/>
      <c r="O12" s="10"/>
    </row>
    <row r="13" spans="1:15" x14ac:dyDescent="0.25">
      <c r="A13" s="12" t="s">
        <v>179</v>
      </c>
      <c r="B13" s="17"/>
      <c r="C13" s="13"/>
      <c r="D13" s="13"/>
      <c r="E13" s="14"/>
      <c r="F13" s="14"/>
      <c r="G13" s="15"/>
      <c r="H13" s="14"/>
      <c r="I13" s="15"/>
      <c r="J13" s="16"/>
      <c r="K13" s="34"/>
      <c r="L13" t="s">
        <v>3</v>
      </c>
      <c r="M13" s="12" t="s">
        <v>4</v>
      </c>
      <c r="N13" s="17"/>
      <c r="O13" s="13"/>
    </row>
    <row r="14" spans="1:15" x14ac:dyDescent="0.25">
      <c r="A14" s="10" t="s">
        <v>180</v>
      </c>
      <c r="B14" s="10"/>
      <c r="C14" s="10"/>
      <c r="D14" s="10"/>
      <c r="E14" s="11"/>
      <c r="F14" s="11"/>
      <c r="G14" s="10"/>
      <c r="H14" s="10"/>
      <c r="I14" s="10"/>
      <c r="J14" s="33"/>
      <c r="K14" s="33"/>
      <c r="L14" s="10" t="s">
        <v>5</v>
      </c>
      <c r="M14" s="10" t="s">
        <v>2</v>
      </c>
      <c r="N14" s="10"/>
      <c r="O14" s="10"/>
    </row>
    <row r="15" spans="1:15" x14ac:dyDescent="0.25">
      <c r="A15" s="12" t="s">
        <v>181</v>
      </c>
      <c r="B15" s="17"/>
      <c r="C15" s="13"/>
      <c r="D15" s="13"/>
      <c r="E15" s="14"/>
      <c r="F15" s="14"/>
      <c r="G15" s="15"/>
      <c r="H15" s="14"/>
      <c r="I15" s="15"/>
      <c r="J15" s="16"/>
      <c r="K15" s="34"/>
      <c r="L15" t="s">
        <v>6</v>
      </c>
      <c r="M15" s="12"/>
      <c r="N15" s="17"/>
      <c r="O15" s="13"/>
    </row>
    <row r="16" spans="1:15" x14ac:dyDescent="0.25">
      <c r="A16" s="10" t="s">
        <v>182</v>
      </c>
      <c r="B16" s="10"/>
      <c r="C16" s="10"/>
      <c r="D16" s="10"/>
      <c r="E16" s="11"/>
      <c r="F16" s="11"/>
      <c r="G16" s="10"/>
      <c r="H16" s="10"/>
      <c r="I16" s="10"/>
      <c r="J16" s="33"/>
      <c r="K16" s="33"/>
      <c r="L16" s="10" t="s">
        <v>7</v>
      </c>
      <c r="M16" s="10" t="s">
        <v>2</v>
      </c>
      <c r="N16" s="10"/>
      <c r="O16" s="10"/>
    </row>
    <row r="17" spans="1:15" x14ac:dyDescent="0.25">
      <c r="A17" s="12" t="s">
        <v>183</v>
      </c>
      <c r="B17" s="17"/>
      <c r="C17" s="13"/>
      <c r="D17" s="13"/>
      <c r="E17" s="14"/>
      <c r="F17" s="14"/>
      <c r="G17" s="15"/>
      <c r="H17" s="14"/>
      <c r="I17" s="15"/>
      <c r="J17" s="16"/>
      <c r="K17" s="34"/>
      <c r="L17" t="s">
        <v>8</v>
      </c>
      <c r="M17" s="12"/>
      <c r="N17" s="17"/>
      <c r="O17" s="13"/>
    </row>
    <row r="18" spans="1:15" x14ac:dyDescent="0.25">
      <c r="A18" s="10" t="s">
        <v>176</v>
      </c>
      <c r="B18" s="10"/>
      <c r="C18" s="10"/>
      <c r="D18" s="10"/>
      <c r="E18" s="11"/>
      <c r="F18" s="11"/>
      <c r="G18" s="10"/>
      <c r="H18" s="10"/>
      <c r="I18" s="10"/>
      <c r="J18" s="33"/>
      <c r="K18" s="33"/>
      <c r="L18" s="10" t="s">
        <v>9</v>
      </c>
      <c r="M18" s="10" t="s">
        <v>10</v>
      </c>
      <c r="N18" s="10"/>
      <c r="O18" s="10"/>
    </row>
    <row r="19" spans="1:15" x14ac:dyDescent="0.25">
      <c r="A19" s="12" t="s">
        <v>177</v>
      </c>
      <c r="B19" s="17"/>
      <c r="C19" s="13"/>
      <c r="D19" s="13"/>
      <c r="E19" s="14"/>
      <c r="F19" s="14"/>
      <c r="G19" s="15"/>
      <c r="H19" s="14"/>
      <c r="I19" s="15"/>
      <c r="J19" s="16"/>
      <c r="K19" s="34"/>
      <c r="L19" t="s">
        <v>11</v>
      </c>
      <c r="M19" s="12" t="s">
        <v>2</v>
      </c>
      <c r="N19" s="17"/>
      <c r="O19" s="13"/>
    </row>
    <row r="20" spans="1:15" x14ac:dyDescent="0.25">
      <c r="A20" s="10" t="s">
        <v>178</v>
      </c>
      <c r="B20" s="10"/>
      <c r="C20" s="10"/>
      <c r="D20" s="10"/>
      <c r="E20" s="11"/>
      <c r="F20" s="11"/>
      <c r="G20" s="10"/>
      <c r="H20" s="10"/>
      <c r="I20" s="10"/>
      <c r="J20" s="33"/>
      <c r="K20" s="33"/>
      <c r="L20" s="10" t="s">
        <v>12</v>
      </c>
      <c r="M20" s="10" t="s">
        <v>13</v>
      </c>
      <c r="N20" s="10"/>
      <c r="O20" s="10"/>
    </row>
    <row r="21" spans="1:15" x14ac:dyDescent="0.25">
      <c r="A21" s="12" t="s">
        <v>179</v>
      </c>
      <c r="B21" s="17"/>
      <c r="C21" s="13"/>
      <c r="D21" s="13"/>
      <c r="E21" s="14"/>
      <c r="F21" s="14"/>
      <c r="G21" s="15"/>
      <c r="H21" s="14"/>
      <c r="I21" s="15"/>
      <c r="J21" s="16"/>
      <c r="K21" s="34"/>
      <c r="L21" t="s">
        <v>14</v>
      </c>
      <c r="M21" s="12"/>
      <c r="N21" s="17"/>
      <c r="O21" s="13"/>
    </row>
    <row r="22" spans="1:15" x14ac:dyDescent="0.25">
      <c r="A22" s="10" t="s">
        <v>180</v>
      </c>
      <c r="B22" s="10"/>
      <c r="C22" s="10"/>
      <c r="D22" s="10"/>
      <c r="E22" s="11"/>
      <c r="F22" s="11"/>
      <c r="G22" s="10"/>
      <c r="H22" s="10"/>
      <c r="I22" s="10"/>
      <c r="J22" s="33"/>
      <c r="K22" s="33"/>
      <c r="L22" s="10" t="s">
        <v>15</v>
      </c>
      <c r="M22" s="10" t="s">
        <v>16</v>
      </c>
      <c r="N22" s="10"/>
      <c r="O22" s="10"/>
    </row>
    <row r="23" spans="1:15" x14ac:dyDescent="0.25">
      <c r="A23" s="12" t="s">
        <v>181</v>
      </c>
      <c r="B23" s="17"/>
      <c r="C23" s="13"/>
      <c r="D23" s="13"/>
      <c r="E23" s="14"/>
      <c r="F23" s="14"/>
      <c r="G23" s="15"/>
      <c r="H23" s="14"/>
      <c r="I23" s="15"/>
      <c r="J23" s="16"/>
      <c r="K23" s="34"/>
      <c r="L23" t="s">
        <v>17</v>
      </c>
      <c r="M23" s="12" t="s">
        <v>13</v>
      </c>
      <c r="N23" s="17"/>
      <c r="O23" s="13"/>
    </row>
    <row r="24" spans="1:15" x14ac:dyDescent="0.25">
      <c r="A24" s="10" t="s">
        <v>182</v>
      </c>
      <c r="B24" s="10"/>
      <c r="C24" s="10"/>
      <c r="D24" s="10"/>
      <c r="E24" s="11"/>
      <c r="F24" s="11"/>
      <c r="G24" s="10"/>
      <c r="H24" s="10"/>
      <c r="I24" s="10"/>
      <c r="J24" s="33"/>
      <c r="K24" s="33"/>
      <c r="L24" s="10" t="s">
        <v>18</v>
      </c>
      <c r="M24" s="10"/>
      <c r="N24" s="10"/>
      <c r="O24" s="10"/>
    </row>
    <row r="25" spans="1:15" x14ac:dyDescent="0.25">
      <c r="A25" s="12" t="s">
        <v>183</v>
      </c>
      <c r="B25" s="17"/>
      <c r="C25" s="13"/>
      <c r="D25" s="13"/>
      <c r="E25" s="14"/>
      <c r="F25" s="14"/>
      <c r="G25" s="15"/>
      <c r="H25" s="14"/>
      <c r="I25" s="15"/>
      <c r="J25" s="16"/>
      <c r="K25" s="34"/>
      <c r="L25" t="s">
        <v>19</v>
      </c>
      <c r="M25" s="12" t="s">
        <v>20</v>
      </c>
      <c r="N25" s="17"/>
      <c r="O25" s="13"/>
    </row>
    <row r="26" spans="1:15" x14ac:dyDescent="0.25">
      <c r="A26" s="10" t="s">
        <v>176</v>
      </c>
      <c r="B26" s="10"/>
      <c r="C26" s="10"/>
      <c r="D26" s="10"/>
      <c r="E26" s="11"/>
      <c r="F26" s="11"/>
      <c r="G26" s="10"/>
      <c r="H26" s="10"/>
      <c r="I26" s="10"/>
      <c r="J26" s="33"/>
      <c r="K26" s="33"/>
      <c r="L26" s="10" t="s">
        <v>21</v>
      </c>
      <c r="M26" s="10"/>
      <c r="N26" s="10"/>
      <c r="O26" s="10"/>
    </row>
    <row r="27" spans="1:15" x14ac:dyDescent="0.25">
      <c r="A27" s="12" t="s">
        <v>177</v>
      </c>
      <c r="B27" s="17"/>
      <c r="C27" s="13"/>
      <c r="D27" s="13"/>
      <c r="E27" s="14"/>
      <c r="F27" s="14"/>
      <c r="G27" s="15"/>
      <c r="H27" s="14"/>
      <c r="I27" s="15"/>
      <c r="J27" s="16"/>
      <c r="K27" s="34"/>
      <c r="L27" t="s">
        <v>22</v>
      </c>
      <c r="M27" s="12" t="s">
        <v>23</v>
      </c>
      <c r="N27" s="17"/>
      <c r="O27" s="13"/>
    </row>
    <row r="28" spans="1:15" x14ac:dyDescent="0.25">
      <c r="A28" s="10" t="s">
        <v>178</v>
      </c>
      <c r="B28" s="10"/>
      <c r="C28" s="10"/>
      <c r="D28" s="10"/>
      <c r="E28" s="11"/>
      <c r="F28" s="11"/>
      <c r="G28" s="10"/>
      <c r="H28" s="10"/>
      <c r="I28" s="10"/>
      <c r="J28" s="33"/>
      <c r="K28" s="33"/>
      <c r="L28" s="10" t="s">
        <v>24</v>
      </c>
      <c r="M28" s="10" t="s">
        <v>25</v>
      </c>
      <c r="N28" s="10"/>
      <c r="O28" s="10"/>
    </row>
    <row r="29" spans="1:15" x14ac:dyDescent="0.25">
      <c r="A29" s="12" t="s">
        <v>179</v>
      </c>
      <c r="B29" s="17"/>
      <c r="C29" s="13"/>
      <c r="D29" s="13"/>
      <c r="E29" s="14"/>
      <c r="F29" s="14"/>
      <c r="G29" s="15"/>
      <c r="H29" s="14"/>
      <c r="I29" s="15"/>
      <c r="J29" s="16"/>
      <c r="K29" s="34"/>
      <c r="L29" t="s">
        <v>26</v>
      </c>
      <c r="M29" s="12" t="s">
        <v>27</v>
      </c>
      <c r="N29" s="17"/>
      <c r="O29" s="13"/>
    </row>
    <row r="30" spans="1:15" x14ac:dyDescent="0.25">
      <c r="A30" s="10" t="s">
        <v>180</v>
      </c>
      <c r="B30" s="10"/>
      <c r="C30" s="10"/>
      <c r="D30" s="10"/>
      <c r="E30" s="11"/>
      <c r="F30" s="11"/>
      <c r="G30" s="10"/>
      <c r="H30" s="10"/>
      <c r="I30" s="10"/>
      <c r="J30" s="33"/>
      <c r="K30" s="33"/>
      <c r="L30" s="10" t="s">
        <v>28</v>
      </c>
      <c r="M30" s="10" t="s">
        <v>29</v>
      </c>
      <c r="N30" s="10"/>
      <c r="O30" s="10"/>
    </row>
    <row r="31" spans="1:15" x14ac:dyDescent="0.25">
      <c r="A31" s="12" t="s">
        <v>181</v>
      </c>
      <c r="B31" s="17"/>
      <c r="C31" s="13"/>
      <c r="D31" s="13"/>
      <c r="E31" s="14"/>
      <c r="F31" s="14"/>
      <c r="G31" s="15"/>
      <c r="H31" s="14"/>
      <c r="I31" s="15"/>
      <c r="J31" s="16"/>
      <c r="K31" s="34"/>
      <c r="L31" t="s">
        <v>30</v>
      </c>
      <c r="M31" s="12" t="s">
        <v>31</v>
      </c>
      <c r="N31" s="17"/>
      <c r="O31" s="13"/>
    </row>
    <row r="32" spans="1:15" x14ac:dyDescent="0.25">
      <c r="A32" s="10" t="s">
        <v>182</v>
      </c>
      <c r="B32" s="10"/>
      <c r="C32" s="10"/>
      <c r="D32" s="10"/>
      <c r="E32" s="11"/>
      <c r="F32" s="11"/>
      <c r="G32" s="10"/>
      <c r="H32" s="10"/>
      <c r="I32" s="10"/>
      <c r="J32" s="33"/>
      <c r="K32" s="33"/>
      <c r="L32" s="10" t="s">
        <v>32</v>
      </c>
      <c r="M32" s="10" t="s">
        <v>2</v>
      </c>
      <c r="N32" s="10"/>
      <c r="O32" s="10"/>
    </row>
    <row r="33" spans="1:15" x14ac:dyDescent="0.25">
      <c r="A33" s="12" t="s">
        <v>183</v>
      </c>
      <c r="B33" s="17"/>
      <c r="C33" s="13"/>
      <c r="D33" s="13"/>
      <c r="E33" s="14"/>
      <c r="F33" s="14"/>
      <c r="G33" s="15"/>
      <c r="H33" s="14"/>
      <c r="I33" s="15"/>
      <c r="J33" s="16"/>
      <c r="K33" s="34"/>
      <c r="L33" t="s">
        <v>33</v>
      </c>
      <c r="M33" s="12" t="s">
        <v>34</v>
      </c>
      <c r="N33" s="17"/>
      <c r="O33" s="13"/>
    </row>
    <row r="34" spans="1:15" x14ac:dyDescent="0.25">
      <c r="A34" s="10" t="s">
        <v>176</v>
      </c>
      <c r="B34" s="10"/>
      <c r="C34" s="10"/>
      <c r="D34" s="10"/>
      <c r="E34" s="11"/>
      <c r="F34" s="11"/>
      <c r="G34" s="10"/>
      <c r="H34" s="10"/>
      <c r="I34" s="10"/>
      <c r="J34" s="33"/>
      <c r="K34" s="33"/>
      <c r="L34" s="10" t="s">
        <v>35</v>
      </c>
      <c r="M34" s="10" t="s">
        <v>36</v>
      </c>
      <c r="N34" s="10"/>
      <c r="O34" s="10"/>
    </row>
    <row r="35" spans="1:15" x14ac:dyDescent="0.25">
      <c r="A35" s="12" t="s">
        <v>177</v>
      </c>
      <c r="B35" s="17"/>
      <c r="C35" s="13"/>
      <c r="D35" s="13"/>
      <c r="E35" s="14"/>
      <c r="F35" s="14"/>
      <c r="G35" s="15"/>
      <c r="H35" s="14"/>
      <c r="I35" s="15"/>
      <c r="J35" s="16"/>
      <c r="K35" s="34"/>
      <c r="L35" t="s">
        <v>37</v>
      </c>
      <c r="M35" s="12"/>
      <c r="N35" s="17"/>
      <c r="O35" s="13"/>
    </row>
    <row r="36" spans="1:15" x14ac:dyDescent="0.25">
      <c r="A36" s="10" t="s">
        <v>178</v>
      </c>
      <c r="B36" s="10"/>
      <c r="C36" s="10"/>
      <c r="D36" s="10"/>
      <c r="E36" s="11"/>
      <c r="F36" s="11"/>
      <c r="G36" s="10"/>
      <c r="H36" s="10"/>
      <c r="I36" s="10"/>
      <c r="J36" s="33"/>
      <c r="K36" s="33"/>
      <c r="L36" s="10" t="s">
        <v>38</v>
      </c>
      <c r="M36" s="10" t="s">
        <v>39</v>
      </c>
      <c r="N36" s="10"/>
      <c r="O36" s="10"/>
    </row>
    <row r="37" spans="1:15" x14ac:dyDescent="0.25">
      <c r="A37" s="12" t="s">
        <v>179</v>
      </c>
      <c r="B37" s="17"/>
      <c r="C37" s="13"/>
      <c r="D37" s="13"/>
      <c r="E37" s="14"/>
      <c r="F37" s="14"/>
      <c r="G37" s="15"/>
      <c r="H37" s="14"/>
      <c r="I37" s="15"/>
      <c r="J37" s="16"/>
      <c r="K37" s="34"/>
      <c r="L37" t="s">
        <v>40</v>
      </c>
      <c r="M37" s="12" t="s">
        <v>41</v>
      </c>
      <c r="N37" s="17"/>
      <c r="O37" s="13"/>
    </row>
    <row r="38" spans="1:15" x14ac:dyDescent="0.25">
      <c r="A38" s="10" t="s">
        <v>180</v>
      </c>
      <c r="B38" s="10"/>
      <c r="C38" s="10"/>
      <c r="D38" s="10"/>
      <c r="E38" s="11"/>
      <c r="F38" s="11"/>
      <c r="G38" s="10"/>
      <c r="H38" s="10"/>
      <c r="I38" s="10"/>
      <c r="J38" s="33"/>
      <c r="K38" s="33"/>
      <c r="L38" s="10" t="s">
        <v>42</v>
      </c>
      <c r="M38" s="10"/>
      <c r="N38" s="10"/>
      <c r="O38" s="10"/>
    </row>
    <row r="39" spans="1:15" x14ac:dyDescent="0.25">
      <c r="A39" s="12" t="s">
        <v>181</v>
      </c>
      <c r="B39" s="17"/>
      <c r="C39" s="13"/>
      <c r="D39" s="13"/>
      <c r="E39" s="14"/>
      <c r="F39" s="14"/>
      <c r="G39" s="15"/>
      <c r="H39" s="14"/>
      <c r="I39" s="15"/>
      <c r="J39" s="16"/>
      <c r="K39" s="34"/>
      <c r="L39" t="s">
        <v>43</v>
      </c>
      <c r="M39" s="12" t="s">
        <v>44</v>
      </c>
      <c r="N39" s="17"/>
      <c r="O39" s="13"/>
    </row>
    <row r="40" spans="1:15" x14ac:dyDescent="0.25">
      <c r="A40" s="10" t="s">
        <v>182</v>
      </c>
      <c r="B40" s="10"/>
      <c r="C40" s="10"/>
      <c r="D40" s="10"/>
      <c r="E40" s="11"/>
      <c r="F40" s="11"/>
      <c r="G40" s="10"/>
      <c r="H40" s="10"/>
      <c r="I40" s="10"/>
      <c r="J40" s="33"/>
      <c r="K40" s="33"/>
      <c r="L40" s="10" t="s">
        <v>45</v>
      </c>
      <c r="M40" s="10" t="s">
        <v>46</v>
      </c>
      <c r="N40" s="10"/>
      <c r="O40" s="10"/>
    </row>
    <row r="41" spans="1:15" x14ac:dyDescent="0.25">
      <c r="A41" s="12" t="s">
        <v>183</v>
      </c>
      <c r="B41" s="17"/>
      <c r="C41" s="13"/>
      <c r="D41" s="13"/>
      <c r="E41" s="14"/>
      <c r="F41" s="14"/>
      <c r="G41" s="15"/>
      <c r="H41" s="14"/>
      <c r="I41" s="15"/>
      <c r="J41" s="16"/>
      <c r="K41" s="34"/>
      <c r="L41" t="s">
        <v>47</v>
      </c>
      <c r="M41" s="12" t="s">
        <v>48</v>
      </c>
      <c r="N41" s="17"/>
      <c r="O41" s="13"/>
    </row>
    <row r="42" spans="1:15" x14ac:dyDescent="0.25">
      <c r="A42" s="10" t="s">
        <v>183</v>
      </c>
      <c r="B42" s="10"/>
      <c r="C42" s="10"/>
      <c r="D42" s="10"/>
      <c r="E42" s="11"/>
      <c r="F42" s="11"/>
      <c r="G42" s="10"/>
      <c r="H42" s="10"/>
      <c r="I42" s="10"/>
      <c r="J42" s="33"/>
      <c r="K42" s="33"/>
      <c r="L42" s="10" t="s">
        <v>49</v>
      </c>
      <c r="M42" s="10" t="s">
        <v>50</v>
      </c>
      <c r="N42" s="10"/>
      <c r="O42" s="10"/>
    </row>
    <row r="43" spans="1:15" x14ac:dyDescent="0.25">
      <c r="A43" s="12" t="s">
        <v>176</v>
      </c>
      <c r="B43" s="17"/>
      <c r="C43" s="13"/>
      <c r="D43" s="13"/>
      <c r="E43" s="14"/>
      <c r="F43" s="14"/>
      <c r="G43" s="15"/>
      <c r="H43" s="14"/>
      <c r="I43" s="15"/>
      <c r="J43" s="16"/>
      <c r="K43" s="34"/>
      <c r="L43" t="s">
        <v>51</v>
      </c>
      <c r="M43" s="12" t="s">
        <v>52</v>
      </c>
      <c r="N43" s="17"/>
      <c r="O43" s="13"/>
    </row>
    <row r="44" spans="1:15" x14ac:dyDescent="0.25">
      <c r="A44" s="10" t="s">
        <v>177</v>
      </c>
      <c r="B44" s="10"/>
      <c r="C44" s="10"/>
      <c r="D44" s="10"/>
      <c r="E44" s="11"/>
      <c r="F44" s="11"/>
      <c r="G44" s="10"/>
      <c r="H44" s="10"/>
      <c r="I44" s="10"/>
      <c r="J44" s="33"/>
      <c r="K44" s="33"/>
      <c r="L44" s="10" t="s">
        <v>53</v>
      </c>
      <c r="M44" s="10" t="s">
        <v>13</v>
      </c>
      <c r="N44" s="10"/>
      <c r="O44" s="10"/>
    </row>
    <row r="45" spans="1:15" x14ac:dyDescent="0.25">
      <c r="A45" s="12" t="s">
        <v>178</v>
      </c>
      <c r="B45" s="17"/>
      <c r="C45" s="13"/>
      <c r="D45" s="13"/>
      <c r="E45" s="14"/>
      <c r="F45" s="14"/>
      <c r="G45" s="15"/>
      <c r="H45" s="14"/>
      <c r="I45" s="15"/>
      <c r="J45" s="16"/>
      <c r="K45" s="34"/>
      <c r="L45" t="s">
        <v>54</v>
      </c>
      <c r="M45" s="12" t="s">
        <v>2</v>
      </c>
      <c r="N45" s="17"/>
      <c r="O45" s="13"/>
    </row>
    <row r="46" spans="1:15" x14ac:dyDescent="0.25">
      <c r="A46" s="10" t="s">
        <v>179</v>
      </c>
      <c r="B46" s="10"/>
      <c r="C46" s="10"/>
      <c r="D46" s="10"/>
      <c r="E46" s="11"/>
      <c r="F46" s="11"/>
      <c r="G46" s="10"/>
      <c r="H46" s="10"/>
      <c r="I46" s="10"/>
      <c r="J46" s="33"/>
      <c r="K46" s="33"/>
      <c r="L46" s="10" t="s">
        <v>55</v>
      </c>
      <c r="M46" s="10" t="s">
        <v>56</v>
      </c>
      <c r="N46" s="10"/>
      <c r="O46" s="10"/>
    </row>
    <row r="47" spans="1:15" x14ac:dyDescent="0.25">
      <c r="A47" s="12" t="s">
        <v>180</v>
      </c>
      <c r="B47" s="17"/>
      <c r="C47" s="13"/>
      <c r="D47" s="13"/>
      <c r="E47" s="14"/>
      <c r="F47" s="14"/>
      <c r="G47" s="15"/>
      <c r="H47" s="14"/>
      <c r="I47" s="15"/>
      <c r="J47" s="16"/>
      <c r="K47" s="34"/>
      <c r="L47" t="s">
        <v>57</v>
      </c>
      <c r="M47" s="12" t="s">
        <v>58</v>
      </c>
      <c r="N47" s="17"/>
      <c r="O47" s="13"/>
    </row>
    <row r="48" spans="1:15" x14ac:dyDescent="0.25">
      <c r="A48" s="10" t="s">
        <v>181</v>
      </c>
      <c r="B48" s="10"/>
      <c r="C48" s="10"/>
      <c r="D48" s="10"/>
      <c r="E48" s="11"/>
      <c r="F48" s="11"/>
      <c r="G48" s="10"/>
      <c r="H48" s="10"/>
      <c r="I48" s="10"/>
      <c r="J48" s="33"/>
      <c r="K48" s="33"/>
      <c r="L48" s="10" t="s">
        <v>59</v>
      </c>
      <c r="M48" s="10" t="s">
        <v>60</v>
      </c>
      <c r="N48" s="10"/>
      <c r="O48" s="10"/>
    </row>
    <row r="49" spans="1:15" x14ac:dyDescent="0.25">
      <c r="A49" s="12" t="s">
        <v>182</v>
      </c>
      <c r="B49" s="17"/>
      <c r="C49" s="13"/>
      <c r="D49" s="13"/>
      <c r="E49" s="14"/>
      <c r="F49" s="14"/>
      <c r="G49" s="15"/>
      <c r="H49" s="14"/>
      <c r="I49" s="15"/>
      <c r="J49" s="16"/>
      <c r="K49" s="34"/>
      <c r="L49" t="s">
        <v>61</v>
      </c>
      <c r="M49" s="12" t="s">
        <v>27</v>
      </c>
      <c r="N49" s="17"/>
      <c r="O49" s="13"/>
    </row>
    <row r="50" spans="1:15" x14ac:dyDescent="0.25">
      <c r="A50" s="10" t="s">
        <v>183</v>
      </c>
      <c r="B50" s="10"/>
      <c r="C50" s="10"/>
      <c r="D50" s="10"/>
      <c r="E50" s="11"/>
      <c r="F50" s="11"/>
      <c r="G50" s="10"/>
      <c r="H50" s="10"/>
      <c r="I50" s="10"/>
      <c r="J50" s="33"/>
      <c r="K50" s="33"/>
      <c r="L50" s="10" t="s">
        <v>62</v>
      </c>
      <c r="M50" s="10" t="s">
        <v>27</v>
      </c>
      <c r="N50" s="10"/>
      <c r="O50" s="10"/>
    </row>
    <row r="51" spans="1:15" x14ac:dyDescent="0.25">
      <c r="A51" s="12" t="s">
        <v>176</v>
      </c>
      <c r="B51" s="17"/>
      <c r="C51" s="13"/>
      <c r="D51" s="13"/>
      <c r="E51" s="14"/>
      <c r="F51" s="14"/>
      <c r="G51" s="15"/>
      <c r="H51" s="14"/>
      <c r="I51" s="15"/>
      <c r="J51" s="16"/>
      <c r="K51" s="34"/>
      <c r="L51" t="s">
        <v>63</v>
      </c>
      <c r="M51" s="12"/>
      <c r="N51" s="17"/>
      <c r="O51" s="13"/>
    </row>
    <row r="52" spans="1:15" x14ac:dyDescent="0.25">
      <c r="A52" s="10" t="s">
        <v>177</v>
      </c>
      <c r="B52" s="10"/>
      <c r="C52" s="10"/>
      <c r="D52" s="10"/>
      <c r="E52" s="11"/>
      <c r="F52" s="11"/>
      <c r="G52" s="10"/>
      <c r="H52" s="10"/>
      <c r="I52" s="10"/>
      <c r="J52" s="33"/>
      <c r="K52" s="33"/>
      <c r="L52" s="10" t="s">
        <v>64</v>
      </c>
      <c r="M52" s="10" t="s">
        <v>65</v>
      </c>
      <c r="N52" s="10"/>
      <c r="O52" s="10"/>
    </row>
    <row r="53" spans="1:15" x14ac:dyDescent="0.25">
      <c r="A53" s="12" t="s">
        <v>178</v>
      </c>
      <c r="B53" s="17"/>
      <c r="C53" s="13"/>
      <c r="D53" s="13"/>
      <c r="E53" s="14"/>
      <c r="F53" s="14"/>
      <c r="G53" s="15"/>
      <c r="H53" s="14"/>
      <c r="I53" s="15"/>
      <c r="J53" s="16"/>
      <c r="K53" s="34"/>
      <c r="L53" t="s">
        <v>66</v>
      </c>
      <c r="M53" s="12" t="s">
        <v>2</v>
      </c>
      <c r="N53" s="17"/>
      <c r="O53" s="13"/>
    </row>
    <row r="54" spans="1:15" x14ac:dyDescent="0.25">
      <c r="A54" s="10" t="s">
        <v>179</v>
      </c>
      <c r="B54" s="10"/>
      <c r="C54" s="10"/>
      <c r="D54" s="10"/>
      <c r="E54" s="11"/>
      <c r="F54" s="11"/>
      <c r="G54" s="10"/>
      <c r="H54" s="10"/>
      <c r="I54" s="10"/>
      <c r="J54" s="33"/>
      <c r="K54" s="33"/>
      <c r="L54" s="10" t="s">
        <v>67</v>
      </c>
      <c r="M54" s="10" t="s">
        <v>68</v>
      </c>
      <c r="N54" s="10"/>
      <c r="O54" s="10"/>
    </row>
    <row r="55" spans="1:15" x14ac:dyDescent="0.25">
      <c r="A55" s="12" t="s">
        <v>180</v>
      </c>
      <c r="B55" s="17"/>
      <c r="C55" s="13"/>
      <c r="D55" s="13"/>
      <c r="E55" s="14"/>
      <c r="F55" s="14"/>
      <c r="G55" s="15"/>
      <c r="H55" s="14"/>
      <c r="I55" s="15"/>
      <c r="J55" s="16"/>
      <c r="K55" s="34"/>
      <c r="L55" t="s">
        <v>69</v>
      </c>
      <c r="M55" s="12" t="s">
        <v>65</v>
      </c>
      <c r="N55" s="17"/>
      <c r="O55" s="13"/>
    </row>
    <row r="56" spans="1:15" x14ac:dyDescent="0.25">
      <c r="A56" s="10" t="s">
        <v>181</v>
      </c>
      <c r="B56" s="10"/>
      <c r="C56" s="10"/>
      <c r="D56" s="10"/>
      <c r="E56" s="11"/>
      <c r="F56" s="11"/>
      <c r="G56" s="10"/>
      <c r="H56" s="10"/>
      <c r="I56" s="10"/>
      <c r="J56" s="33"/>
      <c r="K56" s="33"/>
      <c r="L56" s="10" t="s">
        <v>70</v>
      </c>
      <c r="M56" s="10" t="s">
        <v>65</v>
      </c>
      <c r="N56" s="10"/>
      <c r="O56" s="10"/>
    </row>
    <row r="57" spans="1:15" x14ac:dyDescent="0.25">
      <c r="A57" s="12" t="s">
        <v>182</v>
      </c>
      <c r="B57" s="17"/>
      <c r="C57" s="13"/>
      <c r="D57" s="13"/>
      <c r="E57" s="14"/>
      <c r="F57" s="14"/>
      <c r="G57" s="15"/>
      <c r="H57" s="14"/>
      <c r="I57" s="15"/>
      <c r="J57" s="16"/>
      <c r="K57" s="34"/>
      <c r="L57" t="s">
        <v>71</v>
      </c>
      <c r="M57" s="12"/>
      <c r="N57" s="17"/>
      <c r="O57" s="13"/>
    </row>
    <row r="58" spans="1:15" x14ac:dyDescent="0.25">
      <c r="A58" s="10" t="s">
        <v>183</v>
      </c>
      <c r="B58" s="10"/>
      <c r="C58" s="10"/>
      <c r="D58" s="10"/>
      <c r="E58" s="11"/>
      <c r="F58" s="11"/>
      <c r="G58" s="10"/>
      <c r="H58" s="10"/>
      <c r="I58" s="10"/>
      <c r="J58" s="33"/>
      <c r="K58" s="33"/>
      <c r="L58" s="10"/>
      <c r="M58" s="10"/>
      <c r="N58" s="10" t="s">
        <v>72</v>
      </c>
      <c r="O58" s="10" t="s">
        <v>73</v>
      </c>
    </row>
    <row r="59" spans="1:15" x14ac:dyDescent="0.25">
      <c r="A59" s="12" t="s">
        <v>176</v>
      </c>
      <c r="B59" s="17"/>
      <c r="C59" s="13"/>
      <c r="D59" s="13"/>
      <c r="E59" s="14"/>
      <c r="F59" s="14"/>
      <c r="G59" s="15"/>
      <c r="H59" s="14"/>
      <c r="I59" s="15"/>
      <c r="J59" s="16"/>
      <c r="K59" s="34"/>
      <c r="M59" s="12"/>
      <c r="N59" s="17" t="s">
        <v>74</v>
      </c>
      <c r="O59" s="13" t="s">
        <v>75</v>
      </c>
    </row>
    <row r="60" spans="1:15" x14ac:dyDescent="0.25">
      <c r="A60" s="10" t="s">
        <v>177</v>
      </c>
      <c r="B60" s="10"/>
      <c r="C60" s="10"/>
      <c r="D60" s="10"/>
      <c r="E60" s="11"/>
      <c r="F60" s="11"/>
      <c r="G60" s="10"/>
      <c r="H60" s="10"/>
      <c r="I60" s="10"/>
      <c r="J60" s="33"/>
      <c r="K60" s="33"/>
      <c r="L60" s="10"/>
      <c r="M60" s="10"/>
      <c r="N60" s="10" t="s">
        <v>76</v>
      </c>
      <c r="O60" s="10" t="s">
        <v>77</v>
      </c>
    </row>
    <row r="61" spans="1:15" x14ac:dyDescent="0.25">
      <c r="A61" s="12" t="s">
        <v>178</v>
      </c>
      <c r="B61" s="17"/>
      <c r="C61" s="13"/>
      <c r="D61" s="13"/>
      <c r="E61" s="14"/>
      <c r="F61" s="14"/>
      <c r="G61" s="15"/>
      <c r="H61" s="14"/>
      <c r="I61" s="15"/>
      <c r="J61" s="16"/>
      <c r="K61" s="34"/>
      <c r="M61" s="12"/>
      <c r="N61" s="17" t="s">
        <v>78</v>
      </c>
      <c r="O61" s="13" t="s">
        <v>79</v>
      </c>
    </row>
    <row r="62" spans="1:15" x14ac:dyDescent="0.25">
      <c r="A62" s="10" t="s">
        <v>179</v>
      </c>
      <c r="B62" s="10"/>
      <c r="C62" s="10"/>
      <c r="D62" s="10"/>
      <c r="E62" s="11"/>
      <c r="F62" s="11"/>
      <c r="G62" s="10"/>
      <c r="H62" s="10"/>
      <c r="I62" s="10"/>
      <c r="J62" s="33"/>
      <c r="K62" s="33"/>
      <c r="L62" s="10"/>
      <c r="M62" s="10"/>
      <c r="N62" s="10" t="s">
        <v>80</v>
      </c>
      <c r="O62" s="10" t="s">
        <v>81</v>
      </c>
    </row>
    <row r="63" spans="1:15" x14ac:dyDescent="0.25">
      <c r="A63" s="12" t="s">
        <v>180</v>
      </c>
      <c r="B63" s="17"/>
      <c r="C63" s="13"/>
      <c r="D63" s="13"/>
      <c r="E63" s="14"/>
      <c r="F63" s="14"/>
      <c r="G63" s="15"/>
      <c r="H63" s="14"/>
      <c r="I63" s="15"/>
      <c r="J63" s="16"/>
      <c r="K63" s="34"/>
      <c r="M63" s="12"/>
      <c r="N63" s="17" t="s">
        <v>82</v>
      </c>
      <c r="O63" s="13" t="s">
        <v>83</v>
      </c>
    </row>
    <row r="64" spans="1:15" x14ac:dyDescent="0.25">
      <c r="A64" s="10" t="s">
        <v>181</v>
      </c>
      <c r="B64" s="10"/>
      <c r="C64" s="10"/>
      <c r="D64" s="10"/>
      <c r="E64" s="11"/>
      <c r="F64" s="11"/>
      <c r="G64" s="10"/>
      <c r="H64" s="10"/>
      <c r="I64" s="10"/>
      <c r="J64" s="33"/>
      <c r="K64" s="33"/>
      <c r="L64" s="10"/>
      <c r="M64" s="10"/>
      <c r="N64" s="10" t="s">
        <v>84</v>
      </c>
      <c r="O64" s="10" t="s">
        <v>77</v>
      </c>
    </row>
    <row r="65" spans="1:15" x14ac:dyDescent="0.25">
      <c r="A65" s="12" t="s">
        <v>182</v>
      </c>
      <c r="B65" s="17"/>
      <c r="C65" s="13"/>
      <c r="D65" s="13"/>
      <c r="E65" s="14"/>
      <c r="F65" s="14"/>
      <c r="G65" s="15"/>
      <c r="H65" s="14"/>
      <c r="I65" s="15"/>
      <c r="J65" s="16"/>
      <c r="K65" s="34"/>
      <c r="M65" s="12"/>
      <c r="N65" s="17" t="s">
        <v>85</v>
      </c>
      <c r="O65" s="13" t="s">
        <v>86</v>
      </c>
    </row>
    <row r="66" spans="1:15" x14ac:dyDescent="0.25">
      <c r="A66" s="10" t="s">
        <v>183</v>
      </c>
      <c r="B66" s="10"/>
      <c r="C66" s="10"/>
      <c r="D66" s="10"/>
      <c r="E66" s="11"/>
      <c r="F66" s="11"/>
      <c r="G66" s="10"/>
      <c r="H66" s="10"/>
      <c r="I66" s="10"/>
      <c r="J66" s="33"/>
      <c r="K66" s="33"/>
      <c r="L66" s="10"/>
      <c r="M66" s="10"/>
      <c r="N66" s="10" t="s">
        <v>87</v>
      </c>
      <c r="O66" s="10" t="s">
        <v>88</v>
      </c>
    </row>
    <row r="67" spans="1:15" x14ac:dyDescent="0.25">
      <c r="A67" s="12" t="s">
        <v>176</v>
      </c>
      <c r="B67" s="17"/>
      <c r="C67" s="13"/>
      <c r="D67" s="13"/>
      <c r="E67" s="14"/>
      <c r="F67" s="14"/>
      <c r="G67" s="15"/>
      <c r="H67" s="14"/>
      <c r="I67" s="15"/>
      <c r="J67" s="16"/>
      <c r="K67" s="34"/>
      <c r="M67" s="12"/>
      <c r="N67" s="17" t="s">
        <v>89</v>
      </c>
      <c r="O67" s="13" t="s">
        <v>90</v>
      </c>
    </row>
    <row r="68" spans="1:15" x14ac:dyDescent="0.25">
      <c r="A68" s="10" t="s">
        <v>177</v>
      </c>
      <c r="B68" s="10"/>
      <c r="C68" s="10"/>
      <c r="D68" s="10"/>
      <c r="E68" s="11"/>
      <c r="F68" s="11"/>
      <c r="G68" s="10"/>
      <c r="H68" s="10"/>
      <c r="I68" s="10"/>
      <c r="J68" s="33"/>
      <c r="K68" s="33"/>
      <c r="L68" s="10"/>
      <c r="M68" s="10"/>
      <c r="N68" s="10" t="s">
        <v>91</v>
      </c>
      <c r="O68" s="10" t="s">
        <v>92</v>
      </c>
    </row>
    <row r="69" spans="1:15" x14ac:dyDescent="0.25">
      <c r="A69" s="12" t="s">
        <v>178</v>
      </c>
      <c r="B69" s="17"/>
      <c r="C69" s="13"/>
      <c r="D69" s="13"/>
      <c r="E69" s="14"/>
      <c r="F69" s="14"/>
      <c r="G69" s="15"/>
      <c r="H69" s="14"/>
      <c r="I69" s="15"/>
      <c r="J69" s="16"/>
      <c r="K69" s="34"/>
      <c r="M69" s="12"/>
      <c r="N69" s="17" t="s">
        <v>93</v>
      </c>
      <c r="O69" s="13" t="s">
        <v>94</v>
      </c>
    </row>
    <row r="70" spans="1:15" x14ac:dyDescent="0.25">
      <c r="A70" s="10" t="s">
        <v>179</v>
      </c>
      <c r="B70" s="10"/>
      <c r="C70" s="10"/>
      <c r="D70" s="10"/>
      <c r="E70" s="11"/>
      <c r="F70" s="11"/>
      <c r="G70" s="10"/>
      <c r="H70" s="10"/>
      <c r="I70" s="10"/>
      <c r="J70" s="33"/>
      <c r="K70" s="33"/>
      <c r="L70" s="10"/>
      <c r="M70" s="10"/>
      <c r="N70" s="10" t="s">
        <v>95</v>
      </c>
      <c r="O70" s="10" t="s">
        <v>96</v>
      </c>
    </row>
    <row r="71" spans="1:15" x14ac:dyDescent="0.25">
      <c r="A71" s="12" t="s">
        <v>180</v>
      </c>
      <c r="B71" s="17"/>
      <c r="C71" s="13"/>
      <c r="D71" s="13"/>
      <c r="E71" s="14"/>
      <c r="F71" s="14"/>
      <c r="G71" s="15"/>
      <c r="H71" s="14"/>
      <c r="I71" s="15"/>
      <c r="J71" s="16"/>
      <c r="K71" s="34"/>
      <c r="M71" s="12"/>
      <c r="N71" s="17" t="s">
        <v>97</v>
      </c>
      <c r="O71" s="13" t="s">
        <v>98</v>
      </c>
    </row>
    <row r="72" spans="1:15" x14ac:dyDescent="0.25">
      <c r="A72" s="10" t="s">
        <v>181</v>
      </c>
      <c r="B72" s="10"/>
      <c r="C72" s="10"/>
      <c r="D72" s="10"/>
      <c r="E72" s="11"/>
      <c r="F72" s="11"/>
      <c r="G72" s="10"/>
      <c r="H72" s="10"/>
      <c r="I72" s="10"/>
      <c r="J72" s="33"/>
      <c r="K72" s="33"/>
      <c r="L72" s="10"/>
      <c r="M72" s="10"/>
      <c r="N72" s="10" t="s">
        <v>99</v>
      </c>
      <c r="O72" s="10" t="s">
        <v>98</v>
      </c>
    </row>
    <row r="73" spans="1:15" x14ac:dyDescent="0.25">
      <c r="A73" s="12" t="s">
        <v>182</v>
      </c>
      <c r="B73" s="17"/>
      <c r="C73" s="13"/>
      <c r="D73" s="13"/>
      <c r="E73" s="14"/>
      <c r="F73" s="14"/>
      <c r="G73" s="15"/>
      <c r="H73" s="14"/>
      <c r="I73" s="15"/>
      <c r="J73" s="16"/>
      <c r="K73" s="34"/>
      <c r="M73" s="12"/>
      <c r="N73" s="17" t="s">
        <v>100</v>
      </c>
      <c r="O73" s="13" t="s">
        <v>101</v>
      </c>
    </row>
    <row r="74" spans="1:15" x14ac:dyDescent="0.25">
      <c r="A74" s="10" t="s">
        <v>183</v>
      </c>
      <c r="B74" s="10"/>
      <c r="C74" s="10"/>
      <c r="D74" s="10"/>
      <c r="E74" s="11"/>
      <c r="F74" s="11"/>
      <c r="G74" s="10"/>
      <c r="H74" s="10"/>
      <c r="I74" s="10"/>
      <c r="J74" s="33"/>
      <c r="K74" s="33"/>
      <c r="L74" s="10"/>
      <c r="M74" s="10"/>
      <c r="N74" s="10" t="s">
        <v>102</v>
      </c>
      <c r="O74" s="10" t="s">
        <v>103</v>
      </c>
    </row>
    <row r="75" spans="1:15" x14ac:dyDescent="0.25">
      <c r="A75" s="12" t="s">
        <v>176</v>
      </c>
      <c r="B75" s="17"/>
      <c r="C75" s="13"/>
      <c r="D75" s="13"/>
      <c r="E75" s="14"/>
      <c r="F75" s="14"/>
      <c r="G75" s="15"/>
      <c r="H75" s="14"/>
      <c r="I75" s="15"/>
      <c r="J75" s="16"/>
      <c r="K75" s="34"/>
      <c r="M75" s="12"/>
      <c r="N75" s="17" t="s">
        <v>104</v>
      </c>
      <c r="O75" s="13" t="s">
        <v>103</v>
      </c>
    </row>
    <row r="76" spans="1:15" x14ac:dyDescent="0.25">
      <c r="A76" s="10" t="s">
        <v>177</v>
      </c>
      <c r="B76" s="10"/>
      <c r="C76" s="10"/>
      <c r="D76" s="10"/>
      <c r="E76" s="11"/>
      <c r="F76" s="11"/>
      <c r="G76" s="10"/>
      <c r="H76" s="10"/>
      <c r="I76" s="10"/>
      <c r="J76" s="33"/>
      <c r="K76" s="33"/>
      <c r="L76" s="10"/>
      <c r="M76" s="10"/>
      <c r="N76" s="10" t="s">
        <v>105</v>
      </c>
      <c r="O76" s="10" t="s">
        <v>106</v>
      </c>
    </row>
    <row r="77" spans="1:15" x14ac:dyDescent="0.25">
      <c r="A77" s="12" t="s">
        <v>178</v>
      </c>
      <c r="B77" s="17"/>
      <c r="C77" s="13"/>
      <c r="D77" s="13"/>
      <c r="E77" s="14"/>
      <c r="F77" s="14"/>
      <c r="G77" s="15"/>
      <c r="H77" s="14"/>
      <c r="I77" s="15"/>
      <c r="J77" s="16"/>
      <c r="K77" s="34"/>
      <c r="M77" s="12"/>
      <c r="N77" s="17" t="s">
        <v>107</v>
      </c>
      <c r="O77" s="13" t="s">
        <v>79</v>
      </c>
    </row>
    <row r="78" spans="1:15" x14ac:dyDescent="0.25">
      <c r="A78" s="10" t="s">
        <v>179</v>
      </c>
      <c r="B78" s="10"/>
      <c r="C78" s="10"/>
      <c r="D78" s="10"/>
      <c r="E78" s="11"/>
      <c r="F78" s="11"/>
      <c r="G78" s="10"/>
      <c r="H78" s="10"/>
      <c r="I78" s="10"/>
      <c r="J78" s="33"/>
      <c r="K78" s="33"/>
      <c r="L78" s="10"/>
      <c r="M78" s="10"/>
      <c r="N78" s="10" t="s">
        <v>108</v>
      </c>
      <c r="O78" s="10" t="s">
        <v>109</v>
      </c>
    </row>
    <row r="79" spans="1:15" x14ac:dyDescent="0.25">
      <c r="A79" s="12" t="s">
        <v>176</v>
      </c>
      <c r="B79" s="17"/>
      <c r="C79" s="13"/>
      <c r="D79" s="13"/>
      <c r="E79" s="14"/>
      <c r="F79" s="14"/>
      <c r="G79" s="15"/>
      <c r="H79" s="14"/>
      <c r="I79" s="15"/>
      <c r="J79" s="16"/>
      <c r="K79" s="34"/>
      <c r="M79" s="12"/>
      <c r="N79" s="17" t="s">
        <v>110</v>
      </c>
      <c r="O79" s="13" t="s">
        <v>111</v>
      </c>
    </row>
    <row r="80" spans="1:15" x14ac:dyDescent="0.25">
      <c r="A80" s="10" t="s">
        <v>176</v>
      </c>
      <c r="B80" s="10"/>
      <c r="C80" s="10"/>
      <c r="D80" s="10"/>
      <c r="E80" s="11"/>
      <c r="F80" s="11"/>
      <c r="G80" s="10"/>
      <c r="H80" s="10"/>
      <c r="I80" s="10"/>
      <c r="J80" s="33"/>
      <c r="K80" s="33"/>
      <c r="L80" s="10"/>
      <c r="M80" s="10"/>
      <c r="N80" s="10" t="s">
        <v>112</v>
      </c>
      <c r="O80" s="10" t="s">
        <v>109</v>
      </c>
    </row>
    <row r="81" spans="1:15" x14ac:dyDescent="0.25">
      <c r="A81" s="12" t="s">
        <v>177</v>
      </c>
      <c r="B81" s="17"/>
      <c r="C81" s="13"/>
      <c r="D81" s="13"/>
      <c r="E81" s="14"/>
      <c r="F81" s="14"/>
      <c r="G81" s="15"/>
      <c r="H81" s="14"/>
      <c r="I81" s="15"/>
      <c r="J81" s="16"/>
      <c r="K81" s="34"/>
      <c r="M81" s="12"/>
      <c r="N81" s="17" t="s">
        <v>113</v>
      </c>
      <c r="O81" s="13" t="s">
        <v>109</v>
      </c>
    </row>
    <row r="82" spans="1:15" x14ac:dyDescent="0.25">
      <c r="A82" s="10" t="s">
        <v>178</v>
      </c>
      <c r="B82" s="10"/>
      <c r="C82" s="10"/>
      <c r="D82" s="10"/>
      <c r="E82" s="11"/>
      <c r="F82" s="11"/>
      <c r="G82" s="10"/>
      <c r="H82" s="10"/>
      <c r="I82" s="10"/>
      <c r="J82" s="33"/>
      <c r="K82" s="33"/>
      <c r="L82" s="10"/>
      <c r="M82" s="10"/>
      <c r="N82" s="10" t="s">
        <v>114</v>
      </c>
      <c r="O82" s="10" t="s">
        <v>111</v>
      </c>
    </row>
    <row r="83" spans="1:15" x14ac:dyDescent="0.25">
      <c r="A83" s="12" t="s">
        <v>179</v>
      </c>
      <c r="B83" s="17"/>
      <c r="C83" s="13"/>
      <c r="D83" s="13"/>
      <c r="E83" s="14"/>
      <c r="F83" s="14"/>
      <c r="G83" s="15"/>
      <c r="H83" s="14"/>
      <c r="I83" s="15"/>
      <c r="J83" s="16"/>
      <c r="K83" s="34"/>
      <c r="M83" s="12"/>
      <c r="N83" s="17" t="s">
        <v>115</v>
      </c>
      <c r="O83" s="13" t="s">
        <v>111</v>
      </c>
    </row>
    <row r="84" spans="1:15" x14ac:dyDescent="0.25">
      <c r="A84" s="10" t="s">
        <v>180</v>
      </c>
      <c r="B84" s="10"/>
      <c r="C84" s="10"/>
      <c r="D84" s="10"/>
      <c r="E84" s="11"/>
      <c r="F84" s="11"/>
      <c r="G84" s="10"/>
      <c r="H84" s="10"/>
      <c r="I84" s="10"/>
      <c r="J84" s="33"/>
      <c r="K84" s="33"/>
      <c r="L84" s="10"/>
      <c r="M84" s="10"/>
      <c r="N84" s="10" t="s">
        <v>116</v>
      </c>
      <c r="O84" s="10" t="s">
        <v>117</v>
      </c>
    </row>
    <row r="85" spans="1:15" x14ac:dyDescent="0.25">
      <c r="A85" s="12" t="s">
        <v>181</v>
      </c>
      <c r="B85" s="17"/>
      <c r="C85" s="13"/>
      <c r="D85" s="13"/>
      <c r="E85" s="14"/>
      <c r="F85" s="14"/>
      <c r="G85" s="15"/>
      <c r="H85" s="14"/>
      <c r="I85" s="15"/>
      <c r="J85" s="16"/>
      <c r="K85" s="34"/>
      <c r="M85" s="12"/>
      <c r="N85" s="17" t="s">
        <v>118</v>
      </c>
      <c r="O85" s="13" t="s">
        <v>117</v>
      </c>
    </row>
    <row r="86" spans="1:15" x14ac:dyDescent="0.25">
      <c r="A86" s="10" t="s">
        <v>182</v>
      </c>
      <c r="B86" s="10"/>
      <c r="C86" s="10"/>
      <c r="D86" s="10"/>
      <c r="E86" s="11"/>
      <c r="F86" s="11"/>
      <c r="G86" s="10"/>
      <c r="H86" s="10"/>
      <c r="I86" s="10"/>
      <c r="J86" s="33"/>
      <c r="K86" s="33"/>
      <c r="L86" s="10"/>
      <c r="M86" s="10"/>
      <c r="N86" s="10" t="s">
        <v>119</v>
      </c>
      <c r="O86" s="10" t="s">
        <v>120</v>
      </c>
    </row>
    <row r="87" spans="1:15" x14ac:dyDescent="0.25">
      <c r="A87" s="12" t="s">
        <v>183</v>
      </c>
      <c r="B87" s="17"/>
      <c r="C87" s="13"/>
      <c r="D87" s="13"/>
      <c r="E87" s="14"/>
      <c r="F87" s="14"/>
      <c r="G87" s="15"/>
      <c r="H87" s="14"/>
      <c r="I87" s="15"/>
      <c r="J87" s="16"/>
      <c r="K87" s="34"/>
      <c r="M87" s="12"/>
      <c r="N87" s="17" t="s">
        <v>121</v>
      </c>
      <c r="O87" s="13" t="s">
        <v>122</v>
      </c>
    </row>
    <row r="88" spans="1:15" x14ac:dyDescent="0.25">
      <c r="A88" s="20"/>
      <c r="B88" s="21"/>
      <c r="C88" s="21"/>
      <c r="D88" s="21"/>
      <c r="E88" s="21"/>
      <c r="F88" s="21"/>
      <c r="G88" s="22"/>
      <c r="H88" s="22"/>
      <c r="I88" s="23"/>
      <c r="J88" s="21"/>
      <c r="K88" s="3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ED032-F99E-44A6-992A-A00944AE5A79}">
  <sheetPr codeName="Foglio6"/>
  <dimension ref="A1:O88"/>
  <sheetViews>
    <sheetView showGridLines="0" workbookViewId="0">
      <selection activeCell="K1" sqref="K1:K1048576"/>
    </sheetView>
  </sheetViews>
  <sheetFormatPr defaultRowHeight="15" x14ac:dyDescent="0.25"/>
  <cols>
    <col min="1" max="1" width="12" style="24" bestFit="1" customWidth="1"/>
    <col min="2" max="2" width="16.42578125" style="24" bestFit="1" customWidth="1"/>
    <col min="3" max="3" width="16.28515625" style="24" bestFit="1" customWidth="1"/>
    <col min="4" max="4" width="13.28515625" style="24" bestFit="1" customWidth="1"/>
    <col min="5" max="6" width="10.42578125" style="24" bestFit="1" customWidth="1"/>
    <col min="7" max="7" width="9.5703125" style="24" bestFit="1" customWidth="1"/>
    <col min="8" max="8" width="10.42578125" style="24" bestFit="1" customWidth="1"/>
    <col min="9" max="9" width="9.5703125" style="25" bestFit="1" customWidth="1"/>
    <col min="10" max="10" width="18.28515625" style="24" bestFit="1" customWidth="1"/>
    <col min="11" max="11" width="23.28515625" style="24" bestFit="1" customWidth="1"/>
    <col min="12" max="12" width="30.85546875" bestFit="1" customWidth="1"/>
    <col min="13" max="13" width="51.42578125" bestFit="1" customWidth="1"/>
    <col min="14" max="14" width="28.28515625" bestFit="1" customWidth="1"/>
    <col min="15" max="15" width="6.140625" bestFit="1" customWidth="1"/>
    <col min="17" max="18" width="6.42578125" bestFit="1" customWidth="1"/>
    <col min="19" max="25" width="21.5703125" bestFit="1" customWidth="1"/>
    <col min="26" max="26" width="18.7109375" bestFit="1" customWidth="1"/>
  </cols>
  <sheetData>
    <row r="1" spans="1:15" x14ac:dyDescent="0.25">
      <c r="A1" s="7" t="s">
        <v>127</v>
      </c>
      <c r="B1" s="7" t="s">
        <v>126</v>
      </c>
      <c r="C1" s="7" t="s">
        <v>136</v>
      </c>
      <c r="D1" s="7" t="s">
        <v>125</v>
      </c>
      <c r="E1" s="7" t="s">
        <v>128</v>
      </c>
      <c r="F1" s="7" t="s">
        <v>158</v>
      </c>
      <c r="G1" s="7" t="s">
        <v>130</v>
      </c>
      <c r="H1" s="7" t="s">
        <v>131</v>
      </c>
      <c r="I1" s="7" t="s">
        <v>132</v>
      </c>
      <c r="J1" s="7" t="s">
        <v>164</v>
      </c>
      <c r="K1" s="7" t="s">
        <v>187</v>
      </c>
      <c r="L1" s="7" t="s">
        <v>134</v>
      </c>
      <c r="M1" s="7" t="s">
        <v>135</v>
      </c>
      <c r="N1" s="7" t="s">
        <v>123</v>
      </c>
      <c r="O1" s="7" t="s">
        <v>124</v>
      </c>
    </row>
    <row r="2" spans="1:15" x14ac:dyDescent="0.25">
      <c r="A2" s="10" t="s">
        <v>143</v>
      </c>
      <c r="B2" s="10" t="s">
        <v>137</v>
      </c>
      <c r="C2" s="10" t="s">
        <v>148</v>
      </c>
      <c r="D2" s="10" t="s">
        <v>153</v>
      </c>
      <c r="E2" s="11">
        <v>45658</v>
      </c>
      <c r="F2" s="11">
        <v>45869</v>
      </c>
      <c r="G2" s="10">
        <f>+'23'!$F2-'23'!$E2</f>
        <v>211</v>
      </c>
      <c r="H2" s="10">
        <f t="shared" ref="H2:H9" ca="1" si="0">+TODAY()</f>
        <v>45817</v>
      </c>
      <c r="I2" s="10">
        <f ca="1">+'23'!$H2-'23'!$E2</f>
        <v>159</v>
      </c>
      <c r="J2" s="33">
        <f ca="1">+'23'!$I2/'23'!$G2</f>
        <v>0.75355450236966826</v>
      </c>
      <c r="K2" s="33" t="s">
        <v>188</v>
      </c>
      <c r="L2" s="10"/>
      <c r="M2" s="10"/>
      <c r="N2" s="10"/>
      <c r="O2" s="10"/>
    </row>
    <row r="3" spans="1:15" x14ac:dyDescent="0.25">
      <c r="A3" s="12" t="s">
        <v>144</v>
      </c>
      <c r="B3" s="17" t="s">
        <v>138</v>
      </c>
      <c r="C3" s="13" t="s">
        <v>148</v>
      </c>
      <c r="D3" s="13" t="s">
        <v>154</v>
      </c>
      <c r="E3" s="14">
        <v>45659</v>
      </c>
      <c r="F3" s="14">
        <v>45870</v>
      </c>
      <c r="G3" s="15">
        <f>+'23'!$F3-'23'!$E3</f>
        <v>211</v>
      </c>
      <c r="H3" s="14">
        <f t="shared" ca="1" si="0"/>
        <v>45817</v>
      </c>
      <c r="I3" s="15">
        <f ca="1">+'23'!$H3-'23'!$E3</f>
        <v>158</v>
      </c>
      <c r="J3" s="16">
        <f ca="1">+'23'!$I3/'23'!$G3</f>
        <v>0.74881516587677721</v>
      </c>
      <c r="K3" s="34" t="s">
        <v>189</v>
      </c>
      <c r="M3" s="12"/>
      <c r="N3" s="17"/>
      <c r="O3" s="13"/>
    </row>
    <row r="4" spans="1:15" x14ac:dyDescent="0.25">
      <c r="A4" s="10" t="s">
        <v>145</v>
      </c>
      <c r="B4" s="10" t="s">
        <v>139</v>
      </c>
      <c r="C4" s="10" t="s">
        <v>175</v>
      </c>
      <c r="D4" s="10" t="s">
        <v>155</v>
      </c>
      <c r="E4" s="11">
        <v>45660</v>
      </c>
      <c r="F4" s="11">
        <v>45871</v>
      </c>
      <c r="G4" s="10">
        <f>+'23'!$F4-'23'!$E4</f>
        <v>211</v>
      </c>
      <c r="H4" s="10">
        <f t="shared" ca="1" si="0"/>
        <v>45817</v>
      </c>
      <c r="I4" s="10">
        <f ca="1">+'23'!$H4-'23'!$E4</f>
        <v>157</v>
      </c>
      <c r="J4" s="33">
        <f ca="1">+'23'!$I4/'23'!$G4</f>
        <v>0.74407582938388628</v>
      </c>
      <c r="K4" s="33" t="s">
        <v>190</v>
      </c>
      <c r="L4" s="10"/>
      <c r="M4" s="10"/>
      <c r="N4" s="10"/>
      <c r="O4" s="10"/>
    </row>
    <row r="5" spans="1:15" x14ac:dyDescent="0.25">
      <c r="A5" s="12" t="s">
        <v>146</v>
      </c>
      <c r="B5" s="17" t="s">
        <v>140</v>
      </c>
      <c r="C5" s="13" t="s">
        <v>150</v>
      </c>
      <c r="D5" s="13" t="s">
        <v>155</v>
      </c>
      <c r="E5" s="14">
        <v>45661</v>
      </c>
      <c r="F5" s="14">
        <v>45872</v>
      </c>
      <c r="G5" s="15">
        <f>+'23'!$F5-'23'!$E5</f>
        <v>211</v>
      </c>
      <c r="H5" s="14">
        <f t="shared" ca="1" si="0"/>
        <v>45817</v>
      </c>
      <c r="I5" s="15">
        <f ca="1">+'23'!$H5-'23'!$E5</f>
        <v>156</v>
      </c>
      <c r="J5" s="16">
        <f ca="1">+'23'!$I5/'23'!$G5</f>
        <v>0.73933649289099523</v>
      </c>
      <c r="K5" s="34" t="s">
        <v>191</v>
      </c>
      <c r="M5" s="12"/>
      <c r="N5" s="17"/>
      <c r="O5" s="13"/>
    </row>
    <row r="6" spans="1:15" x14ac:dyDescent="0.25">
      <c r="A6" s="10" t="s">
        <v>129</v>
      </c>
      <c r="B6" s="10" t="s">
        <v>141</v>
      </c>
      <c r="C6" s="10" t="s">
        <v>151</v>
      </c>
      <c r="D6" s="10" t="s">
        <v>156</v>
      </c>
      <c r="E6" s="11">
        <v>45662</v>
      </c>
      <c r="F6" s="11">
        <v>45873</v>
      </c>
      <c r="G6" s="10">
        <f>+'23'!$F6-'23'!$E6</f>
        <v>211</v>
      </c>
      <c r="H6" s="10">
        <f t="shared" ca="1" si="0"/>
        <v>45817</v>
      </c>
      <c r="I6" s="10">
        <f ca="1">+'23'!$H6-'23'!$E6</f>
        <v>155</v>
      </c>
      <c r="J6" s="33">
        <f ca="1">+'23'!$I6/'23'!$G6</f>
        <v>0.7345971563981043</v>
      </c>
      <c r="K6" s="33" t="s">
        <v>192</v>
      </c>
      <c r="L6" s="10"/>
      <c r="M6" s="10"/>
      <c r="N6" s="10"/>
      <c r="O6" s="10"/>
    </row>
    <row r="7" spans="1:15" x14ac:dyDescent="0.25">
      <c r="A7" s="12" t="s">
        <v>147</v>
      </c>
      <c r="B7" s="17" t="s">
        <v>142</v>
      </c>
      <c r="C7" s="13" t="s">
        <v>152</v>
      </c>
      <c r="D7" s="13" t="s">
        <v>157</v>
      </c>
      <c r="E7" s="14">
        <v>45663</v>
      </c>
      <c r="F7" s="14">
        <v>45874</v>
      </c>
      <c r="G7" s="15">
        <f>+'23'!$F7-'23'!$E7</f>
        <v>211</v>
      </c>
      <c r="H7" s="14">
        <f t="shared" ca="1" si="0"/>
        <v>45817</v>
      </c>
      <c r="I7" s="15">
        <f ca="1">+'23'!$H7-'23'!$E7</f>
        <v>154</v>
      </c>
      <c r="J7" s="16">
        <f ca="1">+'23'!$I7/'23'!$G7</f>
        <v>0.72985781990521326</v>
      </c>
      <c r="K7" s="34" t="s">
        <v>193</v>
      </c>
      <c r="M7" s="12"/>
      <c r="N7" s="17"/>
      <c r="O7" s="13"/>
    </row>
    <row r="8" spans="1:15" x14ac:dyDescent="0.25">
      <c r="A8" s="10" t="s">
        <v>162</v>
      </c>
      <c r="B8" s="10" t="s">
        <v>159</v>
      </c>
      <c r="C8" s="10" t="s">
        <v>161</v>
      </c>
      <c r="D8" s="10" t="s">
        <v>163</v>
      </c>
      <c r="E8" s="11">
        <v>45664</v>
      </c>
      <c r="F8" s="11">
        <v>45875</v>
      </c>
      <c r="G8" s="10">
        <f>+'23'!$F8-'23'!$E8</f>
        <v>211</v>
      </c>
      <c r="H8" s="10">
        <f t="shared" ca="1" si="0"/>
        <v>45817</v>
      </c>
      <c r="I8" s="10">
        <f ca="1">+'23'!$H8-'23'!$E8</f>
        <v>153</v>
      </c>
      <c r="J8" s="33">
        <f ca="1">+'23'!$I8/'23'!$G8</f>
        <v>0.72511848341232232</v>
      </c>
      <c r="K8" s="33" t="s">
        <v>194</v>
      </c>
      <c r="L8" s="10"/>
      <c r="M8" s="10"/>
      <c r="N8" s="10"/>
      <c r="O8" s="10"/>
    </row>
    <row r="9" spans="1:15" x14ac:dyDescent="0.25">
      <c r="A9" s="12" t="s">
        <v>165</v>
      </c>
      <c r="B9" s="17" t="s">
        <v>160</v>
      </c>
      <c r="C9" s="13" t="s">
        <v>161</v>
      </c>
      <c r="D9" s="13" t="s">
        <v>163</v>
      </c>
      <c r="E9" s="14">
        <v>45665</v>
      </c>
      <c r="F9" s="14">
        <v>45876</v>
      </c>
      <c r="G9" s="15">
        <f>+'23'!$F9-'23'!$E9</f>
        <v>211</v>
      </c>
      <c r="H9" s="14">
        <f t="shared" ca="1" si="0"/>
        <v>45817</v>
      </c>
      <c r="I9" s="15">
        <f ca="1">+'23'!$H9-'23'!$E9</f>
        <v>152</v>
      </c>
      <c r="J9" s="16">
        <f ca="1">+'23'!$I9/'23'!$G9</f>
        <v>0.72037914691943128</v>
      </c>
      <c r="K9" s="34" t="s">
        <v>195</v>
      </c>
      <c r="M9" s="12"/>
      <c r="N9" s="17"/>
      <c r="O9" s="13"/>
    </row>
    <row r="10" spans="1:15" x14ac:dyDescent="0.25">
      <c r="A10" s="10" t="s">
        <v>143</v>
      </c>
      <c r="B10" s="10"/>
      <c r="C10" s="10"/>
      <c r="D10" s="10"/>
      <c r="E10" s="11"/>
      <c r="F10" s="11"/>
      <c r="G10" s="10"/>
      <c r="H10" s="10"/>
      <c r="I10" s="10"/>
      <c r="J10" s="33"/>
      <c r="K10" s="33"/>
      <c r="L10" s="10" t="s">
        <v>0</v>
      </c>
      <c r="M10" s="10"/>
      <c r="N10" s="10"/>
      <c r="O10" s="10"/>
    </row>
    <row r="11" spans="1:15" x14ac:dyDescent="0.25">
      <c r="A11" s="12" t="s">
        <v>143</v>
      </c>
      <c r="B11" s="17"/>
      <c r="C11" s="13"/>
      <c r="D11" s="13"/>
      <c r="E11" s="14"/>
      <c r="F11" s="14"/>
      <c r="G11" s="15"/>
      <c r="H11" s="14"/>
      <c r="I11" s="15"/>
      <c r="J11" s="16"/>
      <c r="K11" s="34"/>
      <c r="L11" t="s">
        <v>1</v>
      </c>
      <c r="M11" s="12" t="s">
        <v>2</v>
      </c>
      <c r="N11" s="17"/>
      <c r="O11" s="13"/>
    </row>
    <row r="12" spans="1:15" x14ac:dyDescent="0.25">
      <c r="A12" s="10" t="s">
        <v>143</v>
      </c>
      <c r="B12" s="10"/>
      <c r="C12" s="10"/>
      <c r="D12" s="10"/>
      <c r="E12" s="11"/>
      <c r="F12" s="11"/>
      <c r="G12" s="10"/>
      <c r="H12" s="10"/>
      <c r="I12" s="10"/>
      <c r="J12" s="33"/>
      <c r="K12" s="33"/>
      <c r="L12" s="10" t="s">
        <v>3</v>
      </c>
      <c r="M12" s="10" t="s">
        <v>4</v>
      </c>
      <c r="N12" s="10"/>
      <c r="O12" s="10"/>
    </row>
    <row r="13" spans="1:15" x14ac:dyDescent="0.25">
      <c r="A13" s="12" t="s">
        <v>143</v>
      </c>
      <c r="B13" s="17"/>
      <c r="C13" s="13"/>
      <c r="D13" s="13"/>
      <c r="E13" s="14"/>
      <c r="F13" s="14"/>
      <c r="G13" s="15"/>
      <c r="H13" s="14"/>
      <c r="I13" s="15"/>
      <c r="J13" s="16"/>
      <c r="K13" s="34"/>
      <c r="L13" t="s">
        <v>3</v>
      </c>
      <c r="M13" s="12" t="s">
        <v>4</v>
      </c>
      <c r="N13" s="17"/>
      <c r="O13" s="13"/>
    </row>
    <row r="14" spans="1:15" x14ac:dyDescent="0.25">
      <c r="A14" s="10" t="s">
        <v>143</v>
      </c>
      <c r="B14" s="10"/>
      <c r="C14" s="10"/>
      <c r="D14" s="10"/>
      <c r="E14" s="11"/>
      <c r="F14" s="11"/>
      <c r="G14" s="10"/>
      <c r="H14" s="10"/>
      <c r="I14" s="10"/>
      <c r="J14" s="33"/>
      <c r="K14" s="33"/>
      <c r="L14" s="10" t="s">
        <v>5</v>
      </c>
      <c r="M14" s="10" t="s">
        <v>2</v>
      </c>
      <c r="N14" s="10"/>
      <c r="O14" s="10"/>
    </row>
    <row r="15" spans="1:15" x14ac:dyDescent="0.25">
      <c r="A15" s="12" t="s">
        <v>144</v>
      </c>
      <c r="B15" s="17"/>
      <c r="C15" s="13"/>
      <c r="D15" s="13"/>
      <c r="E15" s="14"/>
      <c r="F15" s="14"/>
      <c r="G15" s="15"/>
      <c r="H15" s="14"/>
      <c r="I15" s="15"/>
      <c r="J15" s="16"/>
      <c r="K15" s="34"/>
      <c r="L15" t="s">
        <v>6</v>
      </c>
      <c r="M15" s="12"/>
      <c r="N15" s="17"/>
      <c r="O15" s="13"/>
    </row>
    <row r="16" spans="1:15" x14ac:dyDescent="0.25">
      <c r="A16" s="10" t="s">
        <v>145</v>
      </c>
      <c r="B16" s="10"/>
      <c r="C16" s="10"/>
      <c r="D16" s="10"/>
      <c r="E16" s="11"/>
      <c r="F16" s="11"/>
      <c r="G16" s="10"/>
      <c r="H16" s="10"/>
      <c r="I16" s="10"/>
      <c r="J16" s="33"/>
      <c r="K16" s="33"/>
      <c r="L16" s="10" t="s">
        <v>7</v>
      </c>
      <c r="M16" s="10" t="s">
        <v>2</v>
      </c>
      <c r="N16" s="10"/>
      <c r="O16" s="10"/>
    </row>
    <row r="17" spans="1:15" x14ac:dyDescent="0.25">
      <c r="A17" s="12" t="s">
        <v>146</v>
      </c>
      <c r="B17" s="17"/>
      <c r="C17" s="13"/>
      <c r="D17" s="13"/>
      <c r="E17" s="14"/>
      <c r="F17" s="14"/>
      <c r="G17" s="15"/>
      <c r="H17" s="14"/>
      <c r="I17" s="15"/>
      <c r="J17" s="16"/>
      <c r="K17" s="34"/>
      <c r="L17" t="s">
        <v>8</v>
      </c>
      <c r="M17" s="12"/>
      <c r="N17" s="17"/>
      <c r="O17" s="13"/>
    </row>
    <row r="18" spans="1:15" x14ac:dyDescent="0.25">
      <c r="A18" s="10" t="s">
        <v>129</v>
      </c>
      <c r="B18" s="10"/>
      <c r="C18" s="10"/>
      <c r="D18" s="10"/>
      <c r="E18" s="11"/>
      <c r="F18" s="11"/>
      <c r="G18" s="10"/>
      <c r="H18" s="10"/>
      <c r="I18" s="10"/>
      <c r="J18" s="33"/>
      <c r="K18" s="33"/>
      <c r="L18" s="10" t="s">
        <v>9</v>
      </c>
      <c r="M18" s="10" t="s">
        <v>10</v>
      </c>
      <c r="N18" s="10"/>
      <c r="O18" s="10"/>
    </row>
    <row r="19" spans="1:15" x14ac:dyDescent="0.25">
      <c r="A19" s="12" t="s">
        <v>144</v>
      </c>
      <c r="B19" s="17"/>
      <c r="C19" s="13"/>
      <c r="D19" s="13"/>
      <c r="E19" s="14"/>
      <c r="F19" s="14"/>
      <c r="G19" s="15"/>
      <c r="H19" s="14"/>
      <c r="I19" s="15"/>
      <c r="J19" s="16"/>
      <c r="K19" s="34"/>
      <c r="L19" t="s">
        <v>11</v>
      </c>
      <c r="M19" s="12" t="s">
        <v>2</v>
      </c>
      <c r="N19" s="17"/>
      <c r="O19" s="13"/>
    </row>
    <row r="20" spans="1:15" x14ac:dyDescent="0.25">
      <c r="A20" s="10" t="s">
        <v>145</v>
      </c>
      <c r="B20" s="10"/>
      <c r="C20" s="10"/>
      <c r="D20" s="10"/>
      <c r="E20" s="11"/>
      <c r="F20" s="11"/>
      <c r="G20" s="10"/>
      <c r="H20" s="10"/>
      <c r="I20" s="10"/>
      <c r="J20" s="33"/>
      <c r="K20" s="33"/>
      <c r="L20" s="10" t="s">
        <v>12</v>
      </c>
      <c r="M20" s="10" t="s">
        <v>13</v>
      </c>
      <c r="N20" s="10"/>
      <c r="O20" s="10"/>
    </row>
    <row r="21" spans="1:15" x14ac:dyDescent="0.25">
      <c r="A21" s="12" t="s">
        <v>146</v>
      </c>
      <c r="B21" s="17"/>
      <c r="C21" s="13"/>
      <c r="D21" s="13"/>
      <c r="E21" s="14"/>
      <c r="F21" s="14"/>
      <c r="G21" s="15"/>
      <c r="H21" s="14"/>
      <c r="I21" s="15"/>
      <c r="J21" s="16"/>
      <c r="K21" s="34"/>
      <c r="L21" t="s">
        <v>14</v>
      </c>
      <c r="M21" s="12"/>
      <c r="N21" s="17"/>
      <c r="O21" s="13"/>
    </row>
    <row r="22" spans="1:15" x14ac:dyDescent="0.25">
      <c r="A22" s="10" t="s">
        <v>129</v>
      </c>
      <c r="B22" s="10"/>
      <c r="C22" s="10"/>
      <c r="D22" s="10"/>
      <c r="E22" s="11"/>
      <c r="F22" s="11"/>
      <c r="G22" s="10"/>
      <c r="H22" s="10"/>
      <c r="I22" s="10"/>
      <c r="J22" s="33"/>
      <c r="K22" s="33"/>
      <c r="L22" s="10" t="s">
        <v>15</v>
      </c>
      <c r="M22" s="10" t="s">
        <v>16</v>
      </c>
      <c r="N22" s="10"/>
      <c r="O22" s="10"/>
    </row>
    <row r="23" spans="1:15" x14ac:dyDescent="0.25">
      <c r="A23" s="12" t="s">
        <v>147</v>
      </c>
      <c r="B23" s="17"/>
      <c r="C23" s="13"/>
      <c r="D23" s="13"/>
      <c r="E23" s="14"/>
      <c r="F23" s="14"/>
      <c r="G23" s="15"/>
      <c r="H23" s="14"/>
      <c r="I23" s="15"/>
      <c r="J23" s="16"/>
      <c r="K23" s="34"/>
      <c r="L23" t="s">
        <v>17</v>
      </c>
      <c r="M23" s="12" t="s">
        <v>13</v>
      </c>
      <c r="N23" s="17"/>
      <c r="O23" s="13"/>
    </row>
    <row r="24" spans="1:15" x14ac:dyDescent="0.25">
      <c r="A24" s="10" t="s">
        <v>162</v>
      </c>
      <c r="B24" s="10"/>
      <c r="C24" s="10"/>
      <c r="D24" s="10"/>
      <c r="E24" s="11"/>
      <c r="F24" s="11"/>
      <c r="G24" s="10"/>
      <c r="H24" s="10"/>
      <c r="I24" s="10"/>
      <c r="J24" s="33"/>
      <c r="K24" s="33"/>
      <c r="L24" s="10" t="s">
        <v>18</v>
      </c>
      <c r="M24" s="10"/>
      <c r="N24" s="10"/>
      <c r="O24" s="10"/>
    </row>
    <row r="25" spans="1:15" x14ac:dyDescent="0.25">
      <c r="A25" s="12" t="s">
        <v>165</v>
      </c>
      <c r="B25" s="17"/>
      <c r="C25" s="13"/>
      <c r="D25" s="13"/>
      <c r="E25" s="14"/>
      <c r="F25" s="14"/>
      <c r="G25" s="15"/>
      <c r="H25" s="14"/>
      <c r="I25" s="15"/>
      <c r="J25" s="16"/>
      <c r="K25" s="34"/>
      <c r="L25" t="s">
        <v>19</v>
      </c>
      <c r="M25" s="12" t="s">
        <v>20</v>
      </c>
      <c r="N25" s="17"/>
      <c r="O25" s="13"/>
    </row>
    <row r="26" spans="1:15" x14ac:dyDescent="0.25">
      <c r="A26" s="10" t="s">
        <v>143</v>
      </c>
      <c r="B26" s="10"/>
      <c r="C26" s="10"/>
      <c r="D26" s="10"/>
      <c r="E26" s="11"/>
      <c r="F26" s="11"/>
      <c r="G26" s="10"/>
      <c r="H26" s="10"/>
      <c r="I26" s="10"/>
      <c r="J26" s="33"/>
      <c r="K26" s="33"/>
      <c r="L26" s="10" t="s">
        <v>21</v>
      </c>
      <c r="M26" s="10"/>
      <c r="N26" s="10"/>
      <c r="O26" s="10"/>
    </row>
    <row r="27" spans="1:15" x14ac:dyDescent="0.25">
      <c r="A27" s="12" t="s">
        <v>144</v>
      </c>
      <c r="B27" s="17"/>
      <c r="C27" s="13"/>
      <c r="D27" s="13"/>
      <c r="E27" s="14"/>
      <c r="F27" s="14"/>
      <c r="G27" s="15"/>
      <c r="H27" s="14"/>
      <c r="I27" s="15"/>
      <c r="J27" s="16"/>
      <c r="K27" s="34"/>
      <c r="L27" t="s">
        <v>22</v>
      </c>
      <c r="M27" s="12" t="s">
        <v>23</v>
      </c>
      <c r="N27" s="17"/>
      <c r="O27" s="13"/>
    </row>
    <row r="28" spans="1:15" x14ac:dyDescent="0.25">
      <c r="A28" s="10" t="s">
        <v>145</v>
      </c>
      <c r="B28" s="10"/>
      <c r="C28" s="10"/>
      <c r="D28" s="10"/>
      <c r="E28" s="11"/>
      <c r="F28" s="11"/>
      <c r="G28" s="10"/>
      <c r="H28" s="10"/>
      <c r="I28" s="10"/>
      <c r="J28" s="33"/>
      <c r="K28" s="33"/>
      <c r="L28" s="10" t="s">
        <v>24</v>
      </c>
      <c r="M28" s="10" t="s">
        <v>25</v>
      </c>
      <c r="N28" s="10"/>
      <c r="O28" s="10"/>
    </row>
    <row r="29" spans="1:15" x14ac:dyDescent="0.25">
      <c r="A29" s="12" t="s">
        <v>146</v>
      </c>
      <c r="B29" s="17"/>
      <c r="C29" s="13"/>
      <c r="D29" s="13"/>
      <c r="E29" s="14"/>
      <c r="F29" s="14"/>
      <c r="G29" s="15"/>
      <c r="H29" s="14"/>
      <c r="I29" s="15"/>
      <c r="J29" s="16"/>
      <c r="K29" s="34"/>
      <c r="L29" t="s">
        <v>26</v>
      </c>
      <c r="M29" s="12" t="s">
        <v>27</v>
      </c>
      <c r="N29" s="17"/>
      <c r="O29" s="13"/>
    </row>
    <row r="30" spans="1:15" x14ac:dyDescent="0.25">
      <c r="A30" s="10" t="s">
        <v>129</v>
      </c>
      <c r="B30" s="10"/>
      <c r="C30" s="10"/>
      <c r="D30" s="10"/>
      <c r="E30" s="11"/>
      <c r="F30" s="11"/>
      <c r="G30" s="10"/>
      <c r="H30" s="10"/>
      <c r="I30" s="10"/>
      <c r="J30" s="33"/>
      <c r="K30" s="33"/>
      <c r="L30" s="10" t="s">
        <v>28</v>
      </c>
      <c r="M30" s="10" t="s">
        <v>29</v>
      </c>
      <c r="N30" s="10"/>
      <c r="O30" s="10"/>
    </row>
    <row r="31" spans="1:15" x14ac:dyDescent="0.25">
      <c r="A31" s="12" t="s">
        <v>147</v>
      </c>
      <c r="B31" s="17"/>
      <c r="C31" s="13"/>
      <c r="D31" s="13"/>
      <c r="E31" s="14"/>
      <c r="F31" s="14"/>
      <c r="G31" s="15"/>
      <c r="H31" s="14"/>
      <c r="I31" s="15"/>
      <c r="J31" s="16"/>
      <c r="K31" s="34"/>
      <c r="L31" t="s">
        <v>30</v>
      </c>
      <c r="M31" s="12" t="s">
        <v>31</v>
      </c>
      <c r="N31" s="17"/>
      <c r="O31" s="13"/>
    </row>
    <row r="32" spans="1:15" x14ac:dyDescent="0.25">
      <c r="A32" s="10" t="s">
        <v>162</v>
      </c>
      <c r="B32" s="10"/>
      <c r="C32" s="10"/>
      <c r="D32" s="10"/>
      <c r="E32" s="11"/>
      <c r="F32" s="11"/>
      <c r="G32" s="10"/>
      <c r="H32" s="10"/>
      <c r="I32" s="10"/>
      <c r="J32" s="33"/>
      <c r="K32" s="33"/>
      <c r="L32" s="10" t="s">
        <v>32</v>
      </c>
      <c r="M32" s="10" t="s">
        <v>2</v>
      </c>
      <c r="N32" s="10"/>
      <c r="O32" s="10"/>
    </row>
    <row r="33" spans="1:15" x14ac:dyDescent="0.25">
      <c r="A33" s="12" t="s">
        <v>165</v>
      </c>
      <c r="B33" s="17"/>
      <c r="C33" s="13"/>
      <c r="D33" s="13"/>
      <c r="E33" s="14"/>
      <c r="F33" s="14"/>
      <c r="G33" s="15"/>
      <c r="H33" s="14"/>
      <c r="I33" s="15"/>
      <c r="J33" s="16"/>
      <c r="K33" s="34"/>
      <c r="L33" t="s">
        <v>33</v>
      </c>
      <c r="M33" s="12" t="s">
        <v>34</v>
      </c>
      <c r="N33" s="17"/>
      <c r="O33" s="13"/>
    </row>
    <row r="34" spans="1:15" x14ac:dyDescent="0.25">
      <c r="A34" s="10" t="s">
        <v>143</v>
      </c>
      <c r="B34" s="10"/>
      <c r="C34" s="10"/>
      <c r="D34" s="10"/>
      <c r="E34" s="11"/>
      <c r="F34" s="11"/>
      <c r="G34" s="10"/>
      <c r="H34" s="10"/>
      <c r="I34" s="10"/>
      <c r="J34" s="33"/>
      <c r="K34" s="33"/>
      <c r="L34" s="10" t="s">
        <v>35</v>
      </c>
      <c r="M34" s="10" t="s">
        <v>36</v>
      </c>
      <c r="N34" s="10"/>
      <c r="O34" s="10"/>
    </row>
    <row r="35" spans="1:15" x14ac:dyDescent="0.25">
      <c r="A35" s="12" t="s">
        <v>144</v>
      </c>
      <c r="B35" s="17"/>
      <c r="C35" s="13"/>
      <c r="D35" s="13"/>
      <c r="E35" s="14"/>
      <c r="F35" s="14"/>
      <c r="G35" s="15"/>
      <c r="H35" s="14"/>
      <c r="I35" s="15"/>
      <c r="J35" s="16"/>
      <c r="K35" s="34"/>
      <c r="L35" t="s">
        <v>37</v>
      </c>
      <c r="M35" s="12"/>
      <c r="N35" s="17"/>
      <c r="O35" s="13"/>
    </row>
    <row r="36" spans="1:15" x14ac:dyDescent="0.25">
      <c r="A36" s="10" t="s">
        <v>145</v>
      </c>
      <c r="B36" s="10"/>
      <c r="C36" s="10"/>
      <c r="D36" s="10"/>
      <c r="E36" s="11"/>
      <c r="F36" s="11"/>
      <c r="G36" s="10"/>
      <c r="H36" s="10"/>
      <c r="I36" s="10"/>
      <c r="J36" s="33"/>
      <c r="K36" s="33"/>
      <c r="L36" s="10" t="s">
        <v>38</v>
      </c>
      <c r="M36" s="10" t="s">
        <v>39</v>
      </c>
      <c r="N36" s="10"/>
      <c r="O36" s="10"/>
    </row>
    <row r="37" spans="1:15" x14ac:dyDescent="0.25">
      <c r="A37" s="12" t="s">
        <v>146</v>
      </c>
      <c r="B37" s="17"/>
      <c r="C37" s="13"/>
      <c r="D37" s="13"/>
      <c r="E37" s="14"/>
      <c r="F37" s="14"/>
      <c r="G37" s="15"/>
      <c r="H37" s="14"/>
      <c r="I37" s="15"/>
      <c r="J37" s="16"/>
      <c r="K37" s="34"/>
      <c r="L37" t="s">
        <v>40</v>
      </c>
      <c r="M37" s="12" t="s">
        <v>41</v>
      </c>
      <c r="N37" s="17"/>
      <c r="O37" s="13"/>
    </row>
    <row r="38" spans="1:15" x14ac:dyDescent="0.25">
      <c r="A38" s="10" t="s">
        <v>129</v>
      </c>
      <c r="B38" s="10"/>
      <c r="C38" s="10"/>
      <c r="D38" s="10"/>
      <c r="E38" s="11"/>
      <c r="F38" s="11"/>
      <c r="G38" s="10"/>
      <c r="H38" s="10"/>
      <c r="I38" s="10"/>
      <c r="J38" s="33"/>
      <c r="K38" s="33"/>
      <c r="L38" s="10" t="s">
        <v>42</v>
      </c>
      <c r="M38" s="10"/>
      <c r="N38" s="10"/>
      <c r="O38" s="10"/>
    </row>
    <row r="39" spans="1:15" x14ac:dyDescent="0.25">
      <c r="A39" s="12" t="s">
        <v>147</v>
      </c>
      <c r="B39" s="17"/>
      <c r="C39" s="13"/>
      <c r="D39" s="13"/>
      <c r="E39" s="14"/>
      <c r="F39" s="14"/>
      <c r="G39" s="15"/>
      <c r="H39" s="14"/>
      <c r="I39" s="15"/>
      <c r="J39" s="16"/>
      <c r="K39" s="34"/>
      <c r="L39" t="s">
        <v>43</v>
      </c>
      <c r="M39" s="12" t="s">
        <v>44</v>
      </c>
      <c r="N39" s="17"/>
      <c r="O39" s="13"/>
    </row>
    <row r="40" spans="1:15" x14ac:dyDescent="0.25">
      <c r="A40" s="10" t="s">
        <v>162</v>
      </c>
      <c r="B40" s="10"/>
      <c r="C40" s="10"/>
      <c r="D40" s="10"/>
      <c r="E40" s="11"/>
      <c r="F40" s="11"/>
      <c r="G40" s="10"/>
      <c r="H40" s="10"/>
      <c r="I40" s="10"/>
      <c r="J40" s="33"/>
      <c r="K40" s="33"/>
      <c r="L40" s="10" t="s">
        <v>45</v>
      </c>
      <c r="M40" s="10" t="s">
        <v>46</v>
      </c>
      <c r="N40" s="10"/>
      <c r="O40" s="10"/>
    </row>
    <row r="41" spans="1:15" x14ac:dyDescent="0.25">
      <c r="A41" s="12" t="s">
        <v>165</v>
      </c>
      <c r="B41" s="17"/>
      <c r="C41" s="13"/>
      <c r="D41" s="13"/>
      <c r="E41" s="14"/>
      <c r="F41" s="14"/>
      <c r="G41" s="15"/>
      <c r="H41" s="14"/>
      <c r="I41" s="15"/>
      <c r="J41" s="16"/>
      <c r="K41" s="34"/>
      <c r="L41" t="s">
        <v>47</v>
      </c>
      <c r="M41" s="12" t="s">
        <v>48</v>
      </c>
      <c r="N41" s="17"/>
      <c r="O41" s="13"/>
    </row>
    <row r="42" spans="1:15" x14ac:dyDescent="0.25">
      <c r="A42" s="10" t="s">
        <v>143</v>
      </c>
      <c r="B42" s="10"/>
      <c r="C42" s="10"/>
      <c r="D42" s="10"/>
      <c r="E42" s="11"/>
      <c r="F42" s="11"/>
      <c r="G42" s="10"/>
      <c r="H42" s="10"/>
      <c r="I42" s="10"/>
      <c r="J42" s="33"/>
      <c r="K42" s="33"/>
      <c r="L42" s="10" t="s">
        <v>49</v>
      </c>
      <c r="M42" s="10" t="s">
        <v>50</v>
      </c>
      <c r="N42" s="10"/>
      <c r="O42" s="10"/>
    </row>
    <row r="43" spans="1:15" x14ac:dyDescent="0.25">
      <c r="A43" s="12" t="s">
        <v>144</v>
      </c>
      <c r="B43" s="17"/>
      <c r="C43" s="13"/>
      <c r="D43" s="13"/>
      <c r="E43" s="14"/>
      <c r="F43" s="14"/>
      <c r="G43" s="15"/>
      <c r="H43" s="14"/>
      <c r="I43" s="15"/>
      <c r="J43" s="16"/>
      <c r="K43" s="34"/>
      <c r="L43" t="s">
        <v>51</v>
      </c>
      <c r="M43" s="12" t="s">
        <v>52</v>
      </c>
      <c r="N43" s="17"/>
      <c r="O43" s="13"/>
    </row>
    <row r="44" spans="1:15" x14ac:dyDescent="0.25">
      <c r="A44" s="10" t="s">
        <v>145</v>
      </c>
      <c r="B44" s="10"/>
      <c r="C44" s="10"/>
      <c r="D44" s="10"/>
      <c r="E44" s="11"/>
      <c r="F44" s="11"/>
      <c r="G44" s="10"/>
      <c r="H44" s="10"/>
      <c r="I44" s="10"/>
      <c r="J44" s="33"/>
      <c r="K44" s="33"/>
      <c r="L44" s="10" t="s">
        <v>53</v>
      </c>
      <c r="M44" s="10" t="s">
        <v>13</v>
      </c>
      <c r="N44" s="10"/>
      <c r="O44" s="10"/>
    </row>
    <row r="45" spans="1:15" x14ac:dyDescent="0.25">
      <c r="A45" s="12" t="s">
        <v>146</v>
      </c>
      <c r="B45" s="17"/>
      <c r="C45" s="13"/>
      <c r="D45" s="13"/>
      <c r="E45" s="14"/>
      <c r="F45" s="14"/>
      <c r="G45" s="15"/>
      <c r="H45" s="14"/>
      <c r="I45" s="15"/>
      <c r="J45" s="16"/>
      <c r="K45" s="34"/>
      <c r="L45" t="s">
        <v>54</v>
      </c>
      <c r="M45" s="12" t="s">
        <v>2</v>
      </c>
      <c r="N45" s="17"/>
      <c r="O45" s="13"/>
    </row>
    <row r="46" spans="1:15" x14ac:dyDescent="0.25">
      <c r="A46" s="10" t="s">
        <v>129</v>
      </c>
      <c r="B46" s="10"/>
      <c r="C46" s="10"/>
      <c r="D46" s="10"/>
      <c r="E46" s="11"/>
      <c r="F46" s="11"/>
      <c r="G46" s="10"/>
      <c r="H46" s="10"/>
      <c r="I46" s="10"/>
      <c r="J46" s="33"/>
      <c r="K46" s="33"/>
      <c r="L46" s="10" t="s">
        <v>55</v>
      </c>
      <c r="M46" s="10" t="s">
        <v>56</v>
      </c>
      <c r="N46" s="10"/>
      <c r="O46" s="10"/>
    </row>
    <row r="47" spans="1:15" x14ac:dyDescent="0.25">
      <c r="A47" s="12" t="s">
        <v>147</v>
      </c>
      <c r="B47" s="17"/>
      <c r="C47" s="13"/>
      <c r="D47" s="13"/>
      <c r="E47" s="14"/>
      <c r="F47" s="14"/>
      <c r="G47" s="15"/>
      <c r="H47" s="14"/>
      <c r="I47" s="15"/>
      <c r="J47" s="16"/>
      <c r="K47" s="34"/>
      <c r="L47" t="s">
        <v>57</v>
      </c>
      <c r="M47" s="12" t="s">
        <v>58</v>
      </c>
      <c r="N47" s="17"/>
      <c r="O47" s="13"/>
    </row>
    <row r="48" spans="1:15" x14ac:dyDescent="0.25">
      <c r="A48" s="10" t="s">
        <v>162</v>
      </c>
      <c r="B48" s="10"/>
      <c r="C48" s="10"/>
      <c r="D48" s="10"/>
      <c r="E48" s="11"/>
      <c r="F48" s="11"/>
      <c r="G48" s="10"/>
      <c r="H48" s="10"/>
      <c r="I48" s="10"/>
      <c r="J48" s="33"/>
      <c r="K48" s="33"/>
      <c r="L48" s="10" t="s">
        <v>59</v>
      </c>
      <c r="M48" s="10" t="s">
        <v>60</v>
      </c>
      <c r="N48" s="10"/>
      <c r="O48" s="10"/>
    </row>
    <row r="49" spans="1:15" x14ac:dyDescent="0.25">
      <c r="A49" s="12" t="s">
        <v>165</v>
      </c>
      <c r="B49" s="17"/>
      <c r="C49" s="13"/>
      <c r="D49" s="13"/>
      <c r="E49" s="14"/>
      <c r="F49" s="14"/>
      <c r="G49" s="15"/>
      <c r="H49" s="14"/>
      <c r="I49" s="15"/>
      <c r="J49" s="16"/>
      <c r="K49" s="34"/>
      <c r="L49" t="s">
        <v>61</v>
      </c>
      <c r="M49" s="12" t="s">
        <v>27</v>
      </c>
      <c r="N49" s="17"/>
      <c r="O49" s="13"/>
    </row>
    <row r="50" spans="1:15" x14ac:dyDescent="0.25">
      <c r="A50" s="10" t="s">
        <v>143</v>
      </c>
      <c r="B50" s="10"/>
      <c r="C50" s="10"/>
      <c r="D50" s="10"/>
      <c r="E50" s="11"/>
      <c r="F50" s="11"/>
      <c r="G50" s="10"/>
      <c r="H50" s="10"/>
      <c r="I50" s="10"/>
      <c r="J50" s="33"/>
      <c r="K50" s="33"/>
      <c r="L50" s="10" t="s">
        <v>62</v>
      </c>
      <c r="M50" s="10" t="s">
        <v>27</v>
      </c>
      <c r="N50" s="10"/>
      <c r="O50" s="10"/>
    </row>
    <row r="51" spans="1:15" x14ac:dyDescent="0.25">
      <c r="A51" s="12" t="s">
        <v>144</v>
      </c>
      <c r="B51" s="17"/>
      <c r="C51" s="13"/>
      <c r="D51" s="13"/>
      <c r="E51" s="14"/>
      <c r="F51" s="14"/>
      <c r="G51" s="15"/>
      <c r="H51" s="14"/>
      <c r="I51" s="15"/>
      <c r="J51" s="16"/>
      <c r="K51" s="34"/>
      <c r="L51" t="s">
        <v>63</v>
      </c>
      <c r="M51" s="12"/>
      <c r="N51" s="17"/>
      <c r="O51" s="13"/>
    </row>
    <row r="52" spans="1:15" x14ac:dyDescent="0.25">
      <c r="A52" s="10" t="s">
        <v>145</v>
      </c>
      <c r="B52" s="10"/>
      <c r="C52" s="10"/>
      <c r="D52" s="10"/>
      <c r="E52" s="11"/>
      <c r="F52" s="11"/>
      <c r="G52" s="10"/>
      <c r="H52" s="10"/>
      <c r="I52" s="10"/>
      <c r="J52" s="33"/>
      <c r="K52" s="33"/>
      <c r="L52" s="10" t="s">
        <v>64</v>
      </c>
      <c r="M52" s="10" t="s">
        <v>65</v>
      </c>
      <c r="N52" s="10"/>
      <c r="O52" s="10"/>
    </row>
    <row r="53" spans="1:15" x14ac:dyDescent="0.25">
      <c r="A53" s="12" t="s">
        <v>146</v>
      </c>
      <c r="B53" s="17"/>
      <c r="C53" s="13"/>
      <c r="D53" s="13"/>
      <c r="E53" s="14"/>
      <c r="F53" s="14"/>
      <c r="G53" s="15"/>
      <c r="H53" s="14"/>
      <c r="I53" s="15"/>
      <c r="J53" s="16"/>
      <c r="K53" s="34"/>
      <c r="L53" t="s">
        <v>66</v>
      </c>
      <c r="M53" s="12" t="s">
        <v>2</v>
      </c>
      <c r="N53" s="17"/>
      <c r="O53" s="13"/>
    </row>
    <row r="54" spans="1:15" x14ac:dyDescent="0.25">
      <c r="A54" s="10" t="s">
        <v>129</v>
      </c>
      <c r="B54" s="10"/>
      <c r="C54" s="10"/>
      <c r="D54" s="10"/>
      <c r="E54" s="11"/>
      <c r="F54" s="11"/>
      <c r="G54" s="10"/>
      <c r="H54" s="10"/>
      <c r="I54" s="10"/>
      <c r="J54" s="33"/>
      <c r="K54" s="33"/>
      <c r="L54" s="10" t="s">
        <v>67</v>
      </c>
      <c r="M54" s="10" t="s">
        <v>68</v>
      </c>
      <c r="N54" s="10"/>
      <c r="O54" s="10"/>
    </row>
    <row r="55" spans="1:15" x14ac:dyDescent="0.25">
      <c r="A55" s="12" t="s">
        <v>147</v>
      </c>
      <c r="B55" s="17"/>
      <c r="C55" s="13"/>
      <c r="D55" s="13"/>
      <c r="E55" s="14"/>
      <c r="F55" s="14"/>
      <c r="G55" s="15"/>
      <c r="H55" s="14"/>
      <c r="I55" s="15"/>
      <c r="J55" s="16"/>
      <c r="K55" s="34"/>
      <c r="L55" t="s">
        <v>69</v>
      </c>
      <c r="M55" s="12" t="s">
        <v>65</v>
      </c>
      <c r="N55" s="17"/>
      <c r="O55" s="13"/>
    </row>
    <row r="56" spans="1:15" x14ac:dyDescent="0.25">
      <c r="A56" s="10" t="s">
        <v>162</v>
      </c>
      <c r="B56" s="10"/>
      <c r="C56" s="10"/>
      <c r="D56" s="10"/>
      <c r="E56" s="11"/>
      <c r="F56" s="11"/>
      <c r="G56" s="10"/>
      <c r="H56" s="10"/>
      <c r="I56" s="10"/>
      <c r="J56" s="33"/>
      <c r="K56" s="33"/>
      <c r="L56" s="10" t="s">
        <v>70</v>
      </c>
      <c r="M56" s="10" t="s">
        <v>65</v>
      </c>
      <c r="N56" s="10"/>
      <c r="O56" s="10"/>
    </row>
    <row r="57" spans="1:15" x14ac:dyDescent="0.25">
      <c r="A57" s="12" t="s">
        <v>165</v>
      </c>
      <c r="B57" s="17"/>
      <c r="C57" s="13"/>
      <c r="D57" s="13"/>
      <c r="E57" s="14"/>
      <c r="F57" s="14"/>
      <c r="G57" s="15"/>
      <c r="H57" s="14"/>
      <c r="I57" s="15"/>
      <c r="J57" s="16"/>
      <c r="K57" s="34"/>
      <c r="L57" t="s">
        <v>71</v>
      </c>
      <c r="M57" s="12"/>
      <c r="N57" s="17"/>
      <c r="O57" s="13"/>
    </row>
    <row r="58" spans="1:15" x14ac:dyDescent="0.25">
      <c r="A58" s="10" t="s">
        <v>143</v>
      </c>
      <c r="B58" s="10"/>
      <c r="C58" s="10"/>
      <c r="D58" s="10"/>
      <c r="E58" s="11"/>
      <c r="F58" s="11"/>
      <c r="G58" s="10"/>
      <c r="H58" s="10"/>
      <c r="I58" s="10"/>
      <c r="J58" s="33"/>
      <c r="K58" s="33"/>
      <c r="L58" s="10"/>
      <c r="M58" s="10"/>
      <c r="N58" s="10" t="s">
        <v>72</v>
      </c>
      <c r="O58" s="10" t="s">
        <v>73</v>
      </c>
    </row>
    <row r="59" spans="1:15" x14ac:dyDescent="0.25">
      <c r="A59" s="12" t="s">
        <v>144</v>
      </c>
      <c r="B59" s="17"/>
      <c r="C59" s="13"/>
      <c r="D59" s="13"/>
      <c r="E59" s="14"/>
      <c r="F59" s="14"/>
      <c r="G59" s="15"/>
      <c r="H59" s="14"/>
      <c r="I59" s="15"/>
      <c r="J59" s="16"/>
      <c r="K59" s="34"/>
      <c r="M59" s="12"/>
      <c r="N59" s="17" t="s">
        <v>74</v>
      </c>
      <c r="O59" s="13" t="s">
        <v>75</v>
      </c>
    </row>
    <row r="60" spans="1:15" x14ac:dyDescent="0.25">
      <c r="A60" s="10" t="s">
        <v>145</v>
      </c>
      <c r="B60" s="10"/>
      <c r="C60" s="10"/>
      <c r="D60" s="10"/>
      <c r="E60" s="11"/>
      <c r="F60" s="11"/>
      <c r="G60" s="10"/>
      <c r="H60" s="10"/>
      <c r="I60" s="10"/>
      <c r="J60" s="33"/>
      <c r="K60" s="33"/>
      <c r="L60" s="10"/>
      <c r="M60" s="10"/>
      <c r="N60" s="10" t="s">
        <v>76</v>
      </c>
      <c r="O60" s="10" t="s">
        <v>77</v>
      </c>
    </row>
    <row r="61" spans="1:15" x14ac:dyDescent="0.25">
      <c r="A61" s="12" t="s">
        <v>146</v>
      </c>
      <c r="B61" s="17"/>
      <c r="C61" s="13"/>
      <c r="D61" s="13"/>
      <c r="E61" s="14"/>
      <c r="F61" s="14"/>
      <c r="G61" s="15"/>
      <c r="H61" s="14"/>
      <c r="I61" s="15"/>
      <c r="J61" s="16"/>
      <c r="K61" s="34"/>
      <c r="M61" s="12"/>
      <c r="N61" s="17" t="s">
        <v>78</v>
      </c>
      <c r="O61" s="13" t="s">
        <v>79</v>
      </c>
    </row>
    <row r="62" spans="1:15" x14ac:dyDescent="0.25">
      <c r="A62" s="10" t="s">
        <v>129</v>
      </c>
      <c r="B62" s="10"/>
      <c r="C62" s="10"/>
      <c r="D62" s="10"/>
      <c r="E62" s="11"/>
      <c r="F62" s="11"/>
      <c r="G62" s="10"/>
      <c r="H62" s="10"/>
      <c r="I62" s="10"/>
      <c r="J62" s="33"/>
      <c r="K62" s="33"/>
      <c r="L62" s="10"/>
      <c r="M62" s="10"/>
      <c r="N62" s="10" t="s">
        <v>80</v>
      </c>
      <c r="O62" s="10" t="s">
        <v>81</v>
      </c>
    </row>
    <row r="63" spans="1:15" x14ac:dyDescent="0.25">
      <c r="A63" s="12" t="s">
        <v>147</v>
      </c>
      <c r="B63" s="17"/>
      <c r="C63" s="13"/>
      <c r="D63" s="13"/>
      <c r="E63" s="14"/>
      <c r="F63" s="14"/>
      <c r="G63" s="15"/>
      <c r="H63" s="14"/>
      <c r="I63" s="15"/>
      <c r="J63" s="16"/>
      <c r="K63" s="34"/>
      <c r="M63" s="12"/>
      <c r="N63" s="17" t="s">
        <v>82</v>
      </c>
      <c r="O63" s="13" t="s">
        <v>83</v>
      </c>
    </row>
    <row r="64" spans="1:15" x14ac:dyDescent="0.25">
      <c r="A64" s="10" t="s">
        <v>162</v>
      </c>
      <c r="B64" s="10"/>
      <c r="C64" s="10"/>
      <c r="D64" s="10"/>
      <c r="E64" s="11"/>
      <c r="F64" s="11"/>
      <c r="G64" s="10"/>
      <c r="H64" s="10"/>
      <c r="I64" s="10"/>
      <c r="J64" s="33"/>
      <c r="K64" s="33"/>
      <c r="L64" s="10"/>
      <c r="M64" s="10"/>
      <c r="N64" s="10" t="s">
        <v>84</v>
      </c>
      <c r="O64" s="10" t="s">
        <v>77</v>
      </c>
    </row>
    <row r="65" spans="1:15" x14ac:dyDescent="0.25">
      <c r="A65" s="12" t="s">
        <v>165</v>
      </c>
      <c r="B65" s="17"/>
      <c r="C65" s="13"/>
      <c r="D65" s="13"/>
      <c r="E65" s="14"/>
      <c r="F65" s="14"/>
      <c r="G65" s="15"/>
      <c r="H65" s="14"/>
      <c r="I65" s="15"/>
      <c r="J65" s="16"/>
      <c r="K65" s="34"/>
      <c r="M65" s="12"/>
      <c r="N65" s="17" t="s">
        <v>85</v>
      </c>
      <c r="O65" s="13" t="s">
        <v>86</v>
      </c>
    </row>
    <row r="66" spans="1:15" x14ac:dyDescent="0.25">
      <c r="A66" s="10" t="s">
        <v>143</v>
      </c>
      <c r="B66" s="10"/>
      <c r="C66" s="10"/>
      <c r="D66" s="10"/>
      <c r="E66" s="11"/>
      <c r="F66" s="11"/>
      <c r="G66" s="10"/>
      <c r="H66" s="10"/>
      <c r="I66" s="10"/>
      <c r="J66" s="33"/>
      <c r="K66" s="33"/>
      <c r="L66" s="10"/>
      <c r="M66" s="10"/>
      <c r="N66" s="10" t="s">
        <v>87</v>
      </c>
      <c r="O66" s="10" t="s">
        <v>88</v>
      </c>
    </row>
    <row r="67" spans="1:15" x14ac:dyDescent="0.25">
      <c r="A67" s="12" t="s">
        <v>144</v>
      </c>
      <c r="B67" s="17"/>
      <c r="C67" s="13"/>
      <c r="D67" s="13"/>
      <c r="E67" s="14"/>
      <c r="F67" s="14"/>
      <c r="G67" s="15"/>
      <c r="H67" s="14"/>
      <c r="I67" s="15"/>
      <c r="J67" s="16"/>
      <c r="K67" s="34"/>
      <c r="M67" s="12"/>
      <c r="N67" s="17" t="s">
        <v>89</v>
      </c>
      <c r="O67" s="13" t="s">
        <v>90</v>
      </c>
    </row>
    <row r="68" spans="1:15" x14ac:dyDescent="0.25">
      <c r="A68" s="10" t="s">
        <v>145</v>
      </c>
      <c r="B68" s="10"/>
      <c r="C68" s="10"/>
      <c r="D68" s="10"/>
      <c r="E68" s="11"/>
      <c r="F68" s="11"/>
      <c r="G68" s="10"/>
      <c r="H68" s="10"/>
      <c r="I68" s="10"/>
      <c r="J68" s="33"/>
      <c r="K68" s="33"/>
      <c r="L68" s="10"/>
      <c r="M68" s="10"/>
      <c r="N68" s="10" t="s">
        <v>91</v>
      </c>
      <c r="O68" s="10" t="s">
        <v>92</v>
      </c>
    </row>
    <row r="69" spans="1:15" x14ac:dyDescent="0.25">
      <c r="A69" s="12" t="s">
        <v>146</v>
      </c>
      <c r="B69" s="17"/>
      <c r="C69" s="13"/>
      <c r="D69" s="13"/>
      <c r="E69" s="14"/>
      <c r="F69" s="14"/>
      <c r="G69" s="15"/>
      <c r="H69" s="14"/>
      <c r="I69" s="15"/>
      <c r="J69" s="16"/>
      <c r="K69" s="34"/>
      <c r="M69" s="12"/>
      <c r="N69" s="17" t="s">
        <v>93</v>
      </c>
      <c r="O69" s="13" t="s">
        <v>94</v>
      </c>
    </row>
    <row r="70" spans="1:15" x14ac:dyDescent="0.25">
      <c r="A70" s="10" t="s">
        <v>129</v>
      </c>
      <c r="B70" s="10"/>
      <c r="C70" s="10"/>
      <c r="D70" s="10"/>
      <c r="E70" s="11"/>
      <c r="F70" s="11"/>
      <c r="G70" s="10"/>
      <c r="H70" s="10"/>
      <c r="I70" s="10"/>
      <c r="J70" s="33"/>
      <c r="K70" s="33"/>
      <c r="L70" s="10"/>
      <c r="M70" s="10"/>
      <c r="N70" s="10" t="s">
        <v>95</v>
      </c>
      <c r="O70" s="10" t="s">
        <v>96</v>
      </c>
    </row>
    <row r="71" spans="1:15" x14ac:dyDescent="0.25">
      <c r="A71" s="12" t="s">
        <v>147</v>
      </c>
      <c r="B71" s="17"/>
      <c r="C71" s="13"/>
      <c r="D71" s="13"/>
      <c r="E71" s="14"/>
      <c r="F71" s="14"/>
      <c r="G71" s="15"/>
      <c r="H71" s="14"/>
      <c r="I71" s="15"/>
      <c r="J71" s="16"/>
      <c r="K71" s="34"/>
      <c r="M71" s="12"/>
      <c r="N71" s="17" t="s">
        <v>97</v>
      </c>
      <c r="O71" s="13" t="s">
        <v>98</v>
      </c>
    </row>
    <row r="72" spans="1:15" x14ac:dyDescent="0.25">
      <c r="A72" s="10" t="s">
        <v>162</v>
      </c>
      <c r="B72" s="10"/>
      <c r="C72" s="10"/>
      <c r="D72" s="10"/>
      <c r="E72" s="11"/>
      <c r="F72" s="11"/>
      <c r="G72" s="10"/>
      <c r="H72" s="10"/>
      <c r="I72" s="10"/>
      <c r="J72" s="33"/>
      <c r="K72" s="33"/>
      <c r="L72" s="10"/>
      <c r="M72" s="10"/>
      <c r="N72" s="10" t="s">
        <v>99</v>
      </c>
      <c r="O72" s="10" t="s">
        <v>98</v>
      </c>
    </row>
    <row r="73" spans="1:15" x14ac:dyDescent="0.25">
      <c r="A73" s="12" t="s">
        <v>165</v>
      </c>
      <c r="B73" s="17"/>
      <c r="C73" s="13"/>
      <c r="D73" s="13"/>
      <c r="E73" s="14"/>
      <c r="F73" s="14"/>
      <c r="G73" s="15"/>
      <c r="H73" s="14"/>
      <c r="I73" s="15"/>
      <c r="J73" s="16"/>
      <c r="K73" s="34"/>
      <c r="M73" s="12"/>
      <c r="N73" s="17" t="s">
        <v>100</v>
      </c>
      <c r="O73" s="13" t="s">
        <v>101</v>
      </c>
    </row>
    <row r="74" spans="1:15" x14ac:dyDescent="0.25">
      <c r="A74" s="10" t="s">
        <v>143</v>
      </c>
      <c r="B74" s="10"/>
      <c r="C74" s="10"/>
      <c r="D74" s="10"/>
      <c r="E74" s="11"/>
      <c r="F74" s="11"/>
      <c r="G74" s="10"/>
      <c r="H74" s="10"/>
      <c r="I74" s="10"/>
      <c r="J74" s="33"/>
      <c r="K74" s="33"/>
      <c r="L74" s="10"/>
      <c r="M74" s="10"/>
      <c r="N74" s="10" t="s">
        <v>102</v>
      </c>
      <c r="O74" s="10" t="s">
        <v>103</v>
      </c>
    </row>
    <row r="75" spans="1:15" x14ac:dyDescent="0.25">
      <c r="A75" s="12" t="s">
        <v>144</v>
      </c>
      <c r="B75" s="17"/>
      <c r="C75" s="13"/>
      <c r="D75" s="13"/>
      <c r="E75" s="14"/>
      <c r="F75" s="14"/>
      <c r="G75" s="15"/>
      <c r="H75" s="14"/>
      <c r="I75" s="15"/>
      <c r="J75" s="16"/>
      <c r="K75" s="34"/>
      <c r="M75" s="12"/>
      <c r="N75" s="17" t="s">
        <v>104</v>
      </c>
      <c r="O75" s="13" t="s">
        <v>103</v>
      </c>
    </row>
    <row r="76" spans="1:15" x14ac:dyDescent="0.25">
      <c r="A76" s="10" t="s">
        <v>145</v>
      </c>
      <c r="B76" s="10"/>
      <c r="C76" s="10"/>
      <c r="D76" s="10"/>
      <c r="E76" s="11"/>
      <c r="F76" s="11"/>
      <c r="G76" s="10"/>
      <c r="H76" s="10"/>
      <c r="I76" s="10"/>
      <c r="J76" s="33"/>
      <c r="K76" s="33"/>
      <c r="L76" s="10"/>
      <c r="M76" s="10"/>
      <c r="N76" s="10" t="s">
        <v>105</v>
      </c>
      <c r="O76" s="10" t="s">
        <v>106</v>
      </c>
    </row>
    <row r="77" spans="1:15" x14ac:dyDescent="0.25">
      <c r="A77" s="12" t="s">
        <v>146</v>
      </c>
      <c r="B77" s="17"/>
      <c r="C77" s="13"/>
      <c r="D77" s="13"/>
      <c r="E77" s="14"/>
      <c r="F77" s="14"/>
      <c r="G77" s="15"/>
      <c r="H77" s="14"/>
      <c r="I77" s="15"/>
      <c r="J77" s="16"/>
      <c r="K77" s="34"/>
      <c r="M77" s="12"/>
      <c r="N77" s="17" t="s">
        <v>107</v>
      </c>
      <c r="O77" s="13" t="s">
        <v>79</v>
      </c>
    </row>
    <row r="78" spans="1:15" x14ac:dyDescent="0.25">
      <c r="A78" s="10" t="s">
        <v>129</v>
      </c>
      <c r="B78" s="10"/>
      <c r="C78" s="10"/>
      <c r="D78" s="10"/>
      <c r="E78" s="11"/>
      <c r="F78" s="11"/>
      <c r="G78" s="10"/>
      <c r="H78" s="10"/>
      <c r="I78" s="10"/>
      <c r="J78" s="33"/>
      <c r="K78" s="33"/>
      <c r="L78" s="10"/>
      <c r="M78" s="10"/>
      <c r="N78" s="10" t="s">
        <v>108</v>
      </c>
      <c r="O78" s="10" t="s">
        <v>109</v>
      </c>
    </row>
    <row r="79" spans="1:15" x14ac:dyDescent="0.25">
      <c r="A79" s="12" t="s">
        <v>147</v>
      </c>
      <c r="B79" s="17"/>
      <c r="C79" s="13"/>
      <c r="D79" s="13"/>
      <c r="E79" s="14"/>
      <c r="F79" s="14"/>
      <c r="G79" s="15"/>
      <c r="H79" s="14"/>
      <c r="I79" s="15"/>
      <c r="J79" s="16"/>
      <c r="K79" s="34"/>
      <c r="M79" s="12"/>
      <c r="N79" s="17" t="s">
        <v>110</v>
      </c>
      <c r="O79" s="13" t="s">
        <v>111</v>
      </c>
    </row>
    <row r="80" spans="1:15" x14ac:dyDescent="0.25">
      <c r="A80" s="10" t="s">
        <v>162</v>
      </c>
      <c r="B80" s="10"/>
      <c r="C80" s="10"/>
      <c r="D80" s="10"/>
      <c r="E80" s="11"/>
      <c r="F80" s="11"/>
      <c r="G80" s="10"/>
      <c r="H80" s="10"/>
      <c r="I80" s="10"/>
      <c r="J80" s="33"/>
      <c r="K80" s="33"/>
      <c r="L80" s="10"/>
      <c r="M80" s="10"/>
      <c r="N80" s="10" t="s">
        <v>112</v>
      </c>
      <c r="O80" s="10" t="s">
        <v>109</v>
      </c>
    </row>
    <row r="81" spans="1:15" x14ac:dyDescent="0.25">
      <c r="A81" s="12" t="s">
        <v>165</v>
      </c>
      <c r="B81" s="17"/>
      <c r="C81" s="13"/>
      <c r="D81" s="13"/>
      <c r="E81" s="14"/>
      <c r="F81" s="14"/>
      <c r="G81" s="15"/>
      <c r="H81" s="14"/>
      <c r="I81" s="15"/>
      <c r="J81" s="16"/>
      <c r="K81" s="34"/>
      <c r="M81" s="12"/>
      <c r="N81" s="17" t="s">
        <v>113</v>
      </c>
      <c r="O81" s="13" t="s">
        <v>109</v>
      </c>
    </row>
    <row r="82" spans="1:15" x14ac:dyDescent="0.25">
      <c r="A82" s="10" t="s">
        <v>143</v>
      </c>
      <c r="B82" s="10"/>
      <c r="C82" s="10"/>
      <c r="D82" s="10"/>
      <c r="E82" s="11"/>
      <c r="F82" s="11"/>
      <c r="G82" s="10"/>
      <c r="H82" s="10"/>
      <c r="I82" s="10"/>
      <c r="J82" s="33"/>
      <c r="K82" s="33"/>
      <c r="L82" s="10"/>
      <c r="M82" s="10"/>
      <c r="N82" s="10" t="s">
        <v>114</v>
      </c>
      <c r="O82" s="10" t="s">
        <v>111</v>
      </c>
    </row>
    <row r="83" spans="1:15" x14ac:dyDescent="0.25">
      <c r="A83" s="12" t="s">
        <v>144</v>
      </c>
      <c r="B83" s="17"/>
      <c r="C83" s="13"/>
      <c r="D83" s="13"/>
      <c r="E83" s="14"/>
      <c r="F83" s="14"/>
      <c r="G83" s="15"/>
      <c r="H83" s="14"/>
      <c r="I83" s="15"/>
      <c r="J83" s="16"/>
      <c r="K83" s="34"/>
      <c r="M83" s="12"/>
      <c r="N83" s="17" t="s">
        <v>115</v>
      </c>
      <c r="O83" s="13" t="s">
        <v>111</v>
      </c>
    </row>
    <row r="84" spans="1:15" x14ac:dyDescent="0.25">
      <c r="A84" s="10" t="s">
        <v>145</v>
      </c>
      <c r="B84" s="10"/>
      <c r="C84" s="10"/>
      <c r="D84" s="10"/>
      <c r="E84" s="11"/>
      <c r="F84" s="11"/>
      <c r="G84" s="10"/>
      <c r="H84" s="10"/>
      <c r="I84" s="10"/>
      <c r="J84" s="33"/>
      <c r="K84" s="33"/>
      <c r="L84" s="10"/>
      <c r="M84" s="10"/>
      <c r="N84" s="10" t="s">
        <v>116</v>
      </c>
      <c r="O84" s="10" t="s">
        <v>117</v>
      </c>
    </row>
    <row r="85" spans="1:15" x14ac:dyDescent="0.25">
      <c r="A85" s="12" t="s">
        <v>146</v>
      </c>
      <c r="B85" s="17"/>
      <c r="C85" s="13"/>
      <c r="D85" s="13"/>
      <c r="E85" s="14"/>
      <c r="F85" s="14"/>
      <c r="G85" s="15"/>
      <c r="H85" s="14"/>
      <c r="I85" s="15"/>
      <c r="J85" s="16"/>
      <c r="K85" s="34"/>
      <c r="M85" s="12"/>
      <c r="N85" s="17" t="s">
        <v>118</v>
      </c>
      <c r="O85" s="13" t="s">
        <v>117</v>
      </c>
    </row>
    <row r="86" spans="1:15" x14ac:dyDescent="0.25">
      <c r="A86" s="10" t="s">
        <v>129</v>
      </c>
      <c r="B86" s="10"/>
      <c r="C86" s="10"/>
      <c r="D86" s="10"/>
      <c r="E86" s="11"/>
      <c r="F86" s="11"/>
      <c r="G86" s="10"/>
      <c r="H86" s="10"/>
      <c r="I86" s="10"/>
      <c r="J86" s="33"/>
      <c r="K86" s="33"/>
      <c r="L86" s="10"/>
      <c r="M86" s="10"/>
      <c r="N86" s="10" t="s">
        <v>119</v>
      </c>
      <c r="O86" s="10" t="s">
        <v>120</v>
      </c>
    </row>
    <row r="87" spans="1:15" x14ac:dyDescent="0.25">
      <c r="A87" s="12" t="s">
        <v>147</v>
      </c>
      <c r="B87" s="17"/>
      <c r="C87" s="13"/>
      <c r="D87" s="13"/>
      <c r="E87" s="14"/>
      <c r="F87" s="14"/>
      <c r="G87" s="15"/>
      <c r="H87" s="14"/>
      <c r="I87" s="15"/>
      <c r="J87" s="16"/>
      <c r="K87" s="34"/>
      <c r="M87" s="12"/>
      <c r="N87" s="17" t="s">
        <v>121</v>
      </c>
      <c r="O87" s="13" t="s">
        <v>122</v>
      </c>
    </row>
    <row r="88" spans="1:15" x14ac:dyDescent="0.25">
      <c r="A88" s="20"/>
      <c r="B88" s="21"/>
      <c r="C88" s="21"/>
      <c r="D88" s="21"/>
      <c r="E88" s="21"/>
      <c r="F88" s="21"/>
      <c r="G88" s="22"/>
      <c r="H88" s="22"/>
      <c r="I88" s="23"/>
      <c r="J88" s="21"/>
      <c r="K88" s="3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5247D-0552-4DF5-A309-464374704B79}">
  <sheetPr codeName="Foglio14"/>
  <dimension ref="A1:P345"/>
  <sheetViews>
    <sheetView showGridLines="0" workbookViewId="0">
      <selection activeCell="A260" sqref="A260:O345"/>
    </sheetView>
  </sheetViews>
  <sheetFormatPr defaultRowHeight="15" x14ac:dyDescent="0.25"/>
  <cols>
    <col min="1" max="1" width="12" bestFit="1" customWidth="1"/>
    <col min="2" max="2" width="16.85546875" bestFit="1" customWidth="1"/>
    <col min="3" max="3" width="16.42578125" bestFit="1" customWidth="1"/>
    <col min="4" max="4" width="12.7109375" bestFit="1" customWidth="1"/>
    <col min="5" max="5" width="10.42578125" bestFit="1" customWidth="1"/>
    <col min="6" max="6" width="9.28515625" bestFit="1" customWidth="1"/>
    <col min="7" max="9" width="9.42578125" bestFit="1" customWidth="1"/>
    <col min="10" max="10" width="18" bestFit="1" customWidth="1"/>
    <col min="11" max="12" width="30.85546875" bestFit="1" customWidth="1"/>
    <col min="13" max="13" width="51.42578125" bestFit="1" customWidth="1"/>
    <col min="14" max="14" width="9.42578125" bestFit="1" customWidth="1"/>
    <col min="15" max="15" width="21.85546875" bestFit="1" customWidth="1"/>
    <col min="16" max="16" width="11.7109375" bestFit="1" customWidth="1"/>
  </cols>
  <sheetData>
    <row r="1" spans="1:16" x14ac:dyDescent="0.25">
      <c r="A1" s="30" t="s">
        <v>127</v>
      </c>
      <c r="B1" s="30" t="s">
        <v>126</v>
      </c>
      <c r="C1" s="30" t="s">
        <v>136</v>
      </c>
      <c r="D1" s="30" t="s">
        <v>125</v>
      </c>
      <c r="E1" s="30" t="s">
        <v>128</v>
      </c>
      <c r="F1" s="30" t="s">
        <v>158</v>
      </c>
      <c r="G1" s="30" t="s">
        <v>130</v>
      </c>
      <c r="H1" s="30" t="s">
        <v>131</v>
      </c>
      <c r="I1" s="30" t="s">
        <v>132</v>
      </c>
      <c r="J1" s="30" t="s">
        <v>164</v>
      </c>
      <c r="K1" s="30" t="s">
        <v>187</v>
      </c>
      <c r="L1" s="30" t="s">
        <v>134</v>
      </c>
      <c r="M1" s="30" t="s">
        <v>186</v>
      </c>
      <c r="N1" s="30" t="s">
        <v>123</v>
      </c>
      <c r="O1" s="30" t="s">
        <v>124</v>
      </c>
      <c r="P1" s="30" t="s">
        <v>184</v>
      </c>
    </row>
    <row r="2" spans="1:16" x14ac:dyDescent="0.25">
      <c r="A2" s="31" t="s">
        <v>143</v>
      </c>
      <c r="B2" s="31" t="s">
        <v>137</v>
      </c>
      <c r="C2" s="31" t="s">
        <v>148</v>
      </c>
      <c r="D2" s="31" t="s">
        <v>153</v>
      </c>
      <c r="E2" s="31">
        <v>45658</v>
      </c>
      <c r="F2" s="31">
        <v>45869</v>
      </c>
      <c r="G2" s="31">
        <v>211</v>
      </c>
      <c r="H2" s="31">
        <v>45811</v>
      </c>
      <c r="I2" s="31">
        <v>153</v>
      </c>
      <c r="J2" s="31">
        <v>0.72511848341232232</v>
      </c>
      <c r="K2" s="31" t="s">
        <v>188</v>
      </c>
      <c r="L2" s="31"/>
      <c r="M2" s="31"/>
      <c r="N2" s="31"/>
      <c r="O2" s="31"/>
      <c r="P2" s="31">
        <v>20</v>
      </c>
    </row>
    <row r="3" spans="1:16" x14ac:dyDescent="0.25">
      <c r="A3" s="32" t="s">
        <v>144</v>
      </c>
      <c r="B3" s="32" t="s">
        <v>138</v>
      </c>
      <c r="C3" s="32" t="s">
        <v>148</v>
      </c>
      <c r="D3" s="32" t="s">
        <v>154</v>
      </c>
      <c r="E3" s="32">
        <v>45659</v>
      </c>
      <c r="F3" s="32">
        <v>45870</v>
      </c>
      <c r="G3" s="32">
        <v>211</v>
      </c>
      <c r="H3" s="32">
        <v>45811</v>
      </c>
      <c r="I3" s="32">
        <v>152</v>
      </c>
      <c r="J3" s="32">
        <v>0.72037914691943128</v>
      </c>
      <c r="K3" s="32" t="s">
        <v>189</v>
      </c>
      <c r="L3" s="32"/>
      <c r="M3" s="32"/>
      <c r="N3" s="32"/>
      <c r="O3" s="32"/>
      <c r="P3" s="32">
        <v>20</v>
      </c>
    </row>
    <row r="4" spans="1:16" x14ac:dyDescent="0.25">
      <c r="A4" s="31" t="s">
        <v>145</v>
      </c>
      <c r="B4" s="31" t="s">
        <v>139</v>
      </c>
      <c r="C4" s="31" t="s">
        <v>175</v>
      </c>
      <c r="D4" s="31" t="s">
        <v>155</v>
      </c>
      <c r="E4" s="31">
        <v>45660</v>
      </c>
      <c r="F4" s="31">
        <v>45871</v>
      </c>
      <c r="G4" s="31">
        <v>211</v>
      </c>
      <c r="H4" s="31">
        <v>45811</v>
      </c>
      <c r="I4" s="31">
        <v>151</v>
      </c>
      <c r="J4" s="31">
        <v>0.71563981042654023</v>
      </c>
      <c r="K4" s="31" t="s">
        <v>190</v>
      </c>
      <c r="L4" s="31"/>
      <c r="M4" s="31"/>
      <c r="N4" s="31"/>
      <c r="O4" s="31"/>
      <c r="P4" s="31">
        <v>20</v>
      </c>
    </row>
    <row r="5" spans="1:16" x14ac:dyDescent="0.25">
      <c r="A5" s="32" t="s">
        <v>146</v>
      </c>
      <c r="B5" s="32" t="s">
        <v>140</v>
      </c>
      <c r="C5" s="32" t="s">
        <v>150</v>
      </c>
      <c r="D5" s="32" t="s">
        <v>155</v>
      </c>
      <c r="E5" s="32">
        <v>45661</v>
      </c>
      <c r="F5" s="32">
        <v>45872</v>
      </c>
      <c r="G5" s="32">
        <v>211</v>
      </c>
      <c r="H5" s="32">
        <v>45811</v>
      </c>
      <c r="I5" s="32">
        <v>150</v>
      </c>
      <c r="J5" s="32">
        <v>0.7109004739336493</v>
      </c>
      <c r="K5" s="32" t="s">
        <v>191</v>
      </c>
      <c r="L5" s="32"/>
      <c r="M5" s="32"/>
      <c r="N5" s="32"/>
      <c r="O5" s="32"/>
      <c r="P5" s="32">
        <v>20</v>
      </c>
    </row>
    <row r="6" spans="1:16" x14ac:dyDescent="0.25">
      <c r="A6" s="31" t="s">
        <v>129</v>
      </c>
      <c r="B6" s="31" t="s">
        <v>141</v>
      </c>
      <c r="C6" s="31" t="s">
        <v>151</v>
      </c>
      <c r="D6" s="31" t="s">
        <v>156</v>
      </c>
      <c r="E6" s="31">
        <v>45662</v>
      </c>
      <c r="F6" s="31">
        <v>45873</v>
      </c>
      <c r="G6" s="31">
        <v>211</v>
      </c>
      <c r="H6" s="31">
        <v>45811</v>
      </c>
      <c r="I6" s="31">
        <v>149</v>
      </c>
      <c r="J6" s="31">
        <v>0.70616113744075826</v>
      </c>
      <c r="K6" s="31" t="s">
        <v>192</v>
      </c>
      <c r="L6" s="31"/>
      <c r="M6" s="31"/>
      <c r="N6" s="31"/>
      <c r="O6" s="31"/>
      <c r="P6" s="31">
        <v>20</v>
      </c>
    </row>
    <row r="7" spans="1:16" x14ac:dyDescent="0.25">
      <c r="A7" s="32" t="s">
        <v>147</v>
      </c>
      <c r="B7" s="32" t="s">
        <v>142</v>
      </c>
      <c r="C7" s="32" t="s">
        <v>152</v>
      </c>
      <c r="D7" s="32" t="s">
        <v>157</v>
      </c>
      <c r="E7" s="32">
        <v>45663</v>
      </c>
      <c r="F7" s="32">
        <v>45874</v>
      </c>
      <c r="G7" s="32">
        <v>211</v>
      </c>
      <c r="H7" s="32">
        <v>45811</v>
      </c>
      <c r="I7" s="32">
        <v>148</v>
      </c>
      <c r="J7" s="32">
        <v>0.70142180094786732</v>
      </c>
      <c r="K7" s="32" t="s">
        <v>193</v>
      </c>
      <c r="L7" s="32"/>
      <c r="M7" s="32"/>
      <c r="N7" s="32"/>
      <c r="O7" s="32"/>
      <c r="P7" s="32">
        <v>20</v>
      </c>
    </row>
    <row r="8" spans="1:16" x14ac:dyDescent="0.25">
      <c r="A8" s="31" t="s">
        <v>162</v>
      </c>
      <c r="B8" s="31" t="s">
        <v>159</v>
      </c>
      <c r="C8" s="31" t="s">
        <v>161</v>
      </c>
      <c r="D8" s="31" t="s">
        <v>163</v>
      </c>
      <c r="E8" s="31">
        <v>45664</v>
      </c>
      <c r="F8" s="31">
        <v>45875</v>
      </c>
      <c r="G8" s="31">
        <v>211</v>
      </c>
      <c r="H8" s="31">
        <v>45811</v>
      </c>
      <c r="I8" s="31">
        <v>147</v>
      </c>
      <c r="J8" s="31">
        <v>0.69668246445497628</v>
      </c>
      <c r="K8" s="31" t="s">
        <v>194</v>
      </c>
      <c r="L8" s="31"/>
      <c r="M8" s="31"/>
      <c r="N8" s="31"/>
      <c r="O8" s="31"/>
      <c r="P8" s="31">
        <v>20</v>
      </c>
    </row>
    <row r="9" spans="1:16" x14ac:dyDescent="0.25">
      <c r="A9" s="32" t="s">
        <v>165</v>
      </c>
      <c r="B9" s="32" t="s">
        <v>160</v>
      </c>
      <c r="C9" s="32" t="s">
        <v>161</v>
      </c>
      <c r="D9" s="32" t="s">
        <v>163</v>
      </c>
      <c r="E9" s="32">
        <v>45665</v>
      </c>
      <c r="F9" s="32">
        <v>45876</v>
      </c>
      <c r="G9" s="32">
        <v>211</v>
      </c>
      <c r="H9" s="32">
        <v>45811</v>
      </c>
      <c r="I9" s="32">
        <v>146</v>
      </c>
      <c r="J9" s="32">
        <v>0.69194312796208535</v>
      </c>
      <c r="K9" s="32" t="s">
        <v>195</v>
      </c>
      <c r="L9" s="32"/>
      <c r="M9" s="32"/>
      <c r="N9" s="32"/>
      <c r="O9" s="32"/>
      <c r="P9" s="32">
        <v>20</v>
      </c>
    </row>
    <row r="10" spans="1:16" x14ac:dyDescent="0.25">
      <c r="A10" s="31" t="s">
        <v>143</v>
      </c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 t="s">
        <v>0</v>
      </c>
      <c r="M10" s="31"/>
      <c r="N10" s="31"/>
      <c r="O10" s="31"/>
      <c r="P10" s="31">
        <v>20</v>
      </c>
    </row>
    <row r="11" spans="1:16" x14ac:dyDescent="0.25">
      <c r="A11" s="32" t="s">
        <v>143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 t="s">
        <v>1</v>
      </c>
      <c r="M11" s="32"/>
      <c r="N11" s="32"/>
      <c r="O11" s="32"/>
      <c r="P11" s="32">
        <v>20</v>
      </c>
    </row>
    <row r="12" spans="1:16" x14ac:dyDescent="0.25">
      <c r="A12" s="31" t="s">
        <v>143</v>
      </c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 t="s">
        <v>3</v>
      </c>
      <c r="M12" s="31"/>
      <c r="N12" s="31"/>
      <c r="O12" s="31"/>
      <c r="P12" s="31">
        <v>20</v>
      </c>
    </row>
    <row r="13" spans="1:16" x14ac:dyDescent="0.25">
      <c r="A13" s="32" t="s">
        <v>143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 t="s">
        <v>3</v>
      </c>
      <c r="M13" s="32"/>
      <c r="N13" s="32"/>
      <c r="O13" s="32"/>
      <c r="P13" s="32">
        <v>20</v>
      </c>
    </row>
    <row r="14" spans="1:16" x14ac:dyDescent="0.25">
      <c r="A14" s="31" t="s">
        <v>143</v>
      </c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 t="s">
        <v>5</v>
      </c>
      <c r="M14" s="31"/>
      <c r="N14" s="31"/>
      <c r="O14" s="31"/>
      <c r="P14" s="31">
        <v>20</v>
      </c>
    </row>
    <row r="15" spans="1:16" x14ac:dyDescent="0.25">
      <c r="A15" s="32" t="s">
        <v>144</v>
      </c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 t="s">
        <v>6</v>
      </c>
      <c r="M15" s="32"/>
      <c r="N15" s="32"/>
      <c r="O15" s="32"/>
      <c r="P15" s="32">
        <v>20</v>
      </c>
    </row>
    <row r="16" spans="1:16" x14ac:dyDescent="0.25">
      <c r="A16" s="31" t="s">
        <v>145</v>
      </c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 t="s">
        <v>7</v>
      </c>
      <c r="M16" s="31"/>
      <c r="N16" s="31"/>
      <c r="O16" s="31"/>
      <c r="P16" s="31">
        <v>20</v>
      </c>
    </row>
    <row r="17" spans="1:16" x14ac:dyDescent="0.25">
      <c r="A17" s="32" t="s">
        <v>146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 t="s">
        <v>8</v>
      </c>
      <c r="M17" s="32"/>
      <c r="N17" s="32"/>
      <c r="O17" s="32"/>
      <c r="P17" s="32">
        <v>20</v>
      </c>
    </row>
    <row r="18" spans="1:16" x14ac:dyDescent="0.25">
      <c r="A18" s="31" t="s">
        <v>129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 t="s">
        <v>9</v>
      </c>
      <c r="M18" s="31"/>
      <c r="N18" s="31"/>
      <c r="O18" s="31"/>
      <c r="P18" s="31">
        <v>20</v>
      </c>
    </row>
    <row r="19" spans="1:16" x14ac:dyDescent="0.25">
      <c r="A19" s="32" t="s">
        <v>144</v>
      </c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 t="s">
        <v>11</v>
      </c>
      <c r="M19" s="32"/>
      <c r="N19" s="32"/>
      <c r="O19" s="32"/>
      <c r="P19" s="32">
        <v>20</v>
      </c>
    </row>
    <row r="20" spans="1:16" x14ac:dyDescent="0.25">
      <c r="A20" s="31" t="s">
        <v>145</v>
      </c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 t="s">
        <v>12</v>
      </c>
      <c r="M20" s="31"/>
      <c r="N20" s="31"/>
      <c r="O20" s="31"/>
      <c r="P20" s="31">
        <v>20</v>
      </c>
    </row>
    <row r="21" spans="1:16" x14ac:dyDescent="0.25">
      <c r="A21" s="32" t="s">
        <v>146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 t="s">
        <v>14</v>
      </c>
      <c r="M21" s="32"/>
      <c r="N21" s="32"/>
      <c r="O21" s="32"/>
      <c r="P21" s="32">
        <v>20</v>
      </c>
    </row>
    <row r="22" spans="1:16" x14ac:dyDescent="0.25">
      <c r="A22" s="31" t="s">
        <v>129</v>
      </c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 t="s">
        <v>15</v>
      </c>
      <c r="M22" s="31"/>
      <c r="N22" s="31"/>
      <c r="O22" s="31"/>
      <c r="P22" s="31">
        <v>20</v>
      </c>
    </row>
    <row r="23" spans="1:16" x14ac:dyDescent="0.25">
      <c r="A23" s="32" t="s">
        <v>147</v>
      </c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 t="s">
        <v>17</v>
      </c>
      <c r="M23" s="32"/>
      <c r="N23" s="32"/>
      <c r="O23" s="32"/>
      <c r="P23" s="32">
        <v>20</v>
      </c>
    </row>
    <row r="24" spans="1:16" x14ac:dyDescent="0.25">
      <c r="A24" s="31" t="s">
        <v>162</v>
      </c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 t="s">
        <v>18</v>
      </c>
      <c r="M24" s="31"/>
      <c r="N24" s="31"/>
      <c r="O24" s="31"/>
      <c r="P24" s="31">
        <v>20</v>
      </c>
    </row>
    <row r="25" spans="1:16" x14ac:dyDescent="0.25">
      <c r="A25" s="32" t="s">
        <v>165</v>
      </c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 t="s">
        <v>19</v>
      </c>
      <c r="M25" s="32"/>
      <c r="N25" s="32"/>
      <c r="O25" s="32"/>
      <c r="P25" s="32">
        <v>20</v>
      </c>
    </row>
    <row r="26" spans="1:16" x14ac:dyDescent="0.25">
      <c r="A26" s="31" t="s">
        <v>143</v>
      </c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 t="s">
        <v>21</v>
      </c>
      <c r="M26" s="31"/>
      <c r="N26" s="31"/>
      <c r="O26" s="31"/>
      <c r="P26" s="31">
        <v>20</v>
      </c>
    </row>
    <row r="27" spans="1:16" x14ac:dyDescent="0.25">
      <c r="A27" s="32" t="s">
        <v>144</v>
      </c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 t="s">
        <v>22</v>
      </c>
      <c r="M27" s="32"/>
      <c r="N27" s="32"/>
      <c r="O27" s="32"/>
      <c r="P27" s="32">
        <v>20</v>
      </c>
    </row>
    <row r="28" spans="1:16" x14ac:dyDescent="0.25">
      <c r="A28" s="31" t="s">
        <v>145</v>
      </c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 t="s">
        <v>24</v>
      </c>
      <c r="M28" s="31"/>
      <c r="N28" s="31"/>
      <c r="O28" s="31"/>
      <c r="P28" s="31">
        <v>20</v>
      </c>
    </row>
    <row r="29" spans="1:16" x14ac:dyDescent="0.25">
      <c r="A29" s="32" t="s">
        <v>146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 t="s">
        <v>26</v>
      </c>
      <c r="M29" s="32"/>
      <c r="N29" s="32"/>
      <c r="O29" s="32"/>
      <c r="P29" s="32">
        <v>20</v>
      </c>
    </row>
    <row r="30" spans="1:16" x14ac:dyDescent="0.25">
      <c r="A30" s="31" t="s">
        <v>129</v>
      </c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 t="s">
        <v>28</v>
      </c>
      <c r="M30" s="31"/>
      <c r="N30" s="31"/>
      <c r="O30" s="31"/>
      <c r="P30" s="31">
        <v>20</v>
      </c>
    </row>
    <row r="31" spans="1:16" x14ac:dyDescent="0.25">
      <c r="A31" s="32" t="s">
        <v>147</v>
      </c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 t="s">
        <v>30</v>
      </c>
      <c r="M31" s="32"/>
      <c r="N31" s="32"/>
      <c r="O31" s="32"/>
      <c r="P31" s="32">
        <v>20</v>
      </c>
    </row>
    <row r="32" spans="1:16" x14ac:dyDescent="0.25">
      <c r="A32" s="31" t="s">
        <v>162</v>
      </c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 t="s">
        <v>32</v>
      </c>
      <c r="M32" s="31"/>
      <c r="N32" s="31"/>
      <c r="O32" s="31"/>
      <c r="P32" s="31">
        <v>20</v>
      </c>
    </row>
    <row r="33" spans="1:16" x14ac:dyDescent="0.25">
      <c r="A33" s="32" t="s">
        <v>165</v>
      </c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 t="s">
        <v>33</v>
      </c>
      <c r="M33" s="32"/>
      <c r="N33" s="32"/>
      <c r="O33" s="32"/>
      <c r="P33" s="32">
        <v>20</v>
      </c>
    </row>
    <row r="34" spans="1:16" x14ac:dyDescent="0.25">
      <c r="A34" s="31" t="s">
        <v>143</v>
      </c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 t="s">
        <v>35</v>
      </c>
      <c r="M34" s="31"/>
      <c r="N34" s="31"/>
      <c r="O34" s="31"/>
      <c r="P34" s="31">
        <v>20</v>
      </c>
    </row>
    <row r="35" spans="1:16" x14ac:dyDescent="0.25">
      <c r="A35" s="32" t="s">
        <v>144</v>
      </c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 t="s">
        <v>37</v>
      </c>
      <c r="M35" s="32"/>
      <c r="N35" s="32"/>
      <c r="O35" s="32"/>
      <c r="P35" s="32">
        <v>20</v>
      </c>
    </row>
    <row r="36" spans="1:16" x14ac:dyDescent="0.25">
      <c r="A36" s="31" t="s">
        <v>145</v>
      </c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 t="s">
        <v>38</v>
      </c>
      <c r="M36" s="31"/>
      <c r="N36" s="31"/>
      <c r="O36" s="31"/>
      <c r="P36" s="31">
        <v>20</v>
      </c>
    </row>
    <row r="37" spans="1:16" x14ac:dyDescent="0.25">
      <c r="A37" s="32" t="s">
        <v>146</v>
      </c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 t="s">
        <v>40</v>
      </c>
      <c r="M37" s="32"/>
      <c r="N37" s="32"/>
      <c r="O37" s="32"/>
      <c r="P37" s="32">
        <v>20</v>
      </c>
    </row>
    <row r="38" spans="1:16" x14ac:dyDescent="0.25">
      <c r="A38" s="31" t="s">
        <v>129</v>
      </c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 t="s">
        <v>42</v>
      </c>
      <c r="M38" s="31"/>
      <c r="N38" s="31"/>
      <c r="O38" s="31"/>
      <c r="P38" s="31">
        <v>20</v>
      </c>
    </row>
    <row r="39" spans="1:16" x14ac:dyDescent="0.25">
      <c r="A39" s="32" t="s">
        <v>147</v>
      </c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 t="s">
        <v>43</v>
      </c>
      <c r="M39" s="32"/>
      <c r="N39" s="32"/>
      <c r="O39" s="32"/>
      <c r="P39" s="32">
        <v>20</v>
      </c>
    </row>
    <row r="40" spans="1:16" x14ac:dyDescent="0.25">
      <c r="A40" s="31" t="s">
        <v>162</v>
      </c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 t="s">
        <v>45</v>
      </c>
      <c r="M40" s="31"/>
      <c r="N40" s="31"/>
      <c r="O40" s="31"/>
      <c r="P40" s="31">
        <v>20</v>
      </c>
    </row>
    <row r="41" spans="1:16" x14ac:dyDescent="0.25">
      <c r="A41" s="32" t="s">
        <v>165</v>
      </c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 t="s">
        <v>47</v>
      </c>
      <c r="M41" s="32"/>
      <c r="N41" s="32"/>
      <c r="O41" s="32"/>
      <c r="P41" s="32">
        <v>20</v>
      </c>
    </row>
    <row r="42" spans="1:16" x14ac:dyDescent="0.25">
      <c r="A42" s="31" t="s">
        <v>143</v>
      </c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 t="s">
        <v>49</v>
      </c>
      <c r="M42" s="31"/>
      <c r="N42" s="31"/>
      <c r="O42" s="31"/>
      <c r="P42" s="31">
        <v>20</v>
      </c>
    </row>
    <row r="43" spans="1:16" x14ac:dyDescent="0.25">
      <c r="A43" s="32" t="s">
        <v>144</v>
      </c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 t="s">
        <v>51</v>
      </c>
      <c r="M43" s="32"/>
      <c r="N43" s="32"/>
      <c r="O43" s="32"/>
      <c r="P43" s="32">
        <v>20</v>
      </c>
    </row>
    <row r="44" spans="1:16" x14ac:dyDescent="0.25">
      <c r="A44" s="31" t="s">
        <v>145</v>
      </c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 t="s">
        <v>53</v>
      </c>
      <c r="M44" s="31"/>
      <c r="N44" s="31"/>
      <c r="O44" s="31"/>
      <c r="P44" s="31">
        <v>20</v>
      </c>
    </row>
    <row r="45" spans="1:16" x14ac:dyDescent="0.25">
      <c r="A45" s="32" t="s">
        <v>146</v>
      </c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 t="s">
        <v>54</v>
      </c>
      <c r="M45" s="32"/>
      <c r="N45" s="32"/>
      <c r="O45" s="32"/>
      <c r="P45" s="32">
        <v>20</v>
      </c>
    </row>
    <row r="46" spans="1:16" x14ac:dyDescent="0.25">
      <c r="A46" s="31" t="s">
        <v>129</v>
      </c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 t="s">
        <v>55</v>
      </c>
      <c r="M46" s="31"/>
      <c r="N46" s="31"/>
      <c r="O46" s="31"/>
      <c r="P46" s="31">
        <v>20</v>
      </c>
    </row>
    <row r="47" spans="1:16" x14ac:dyDescent="0.25">
      <c r="A47" s="32" t="s">
        <v>147</v>
      </c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 t="s">
        <v>57</v>
      </c>
      <c r="M47" s="32"/>
      <c r="N47" s="32"/>
      <c r="O47" s="32"/>
      <c r="P47" s="32">
        <v>20</v>
      </c>
    </row>
    <row r="48" spans="1:16" x14ac:dyDescent="0.25">
      <c r="A48" s="31" t="s">
        <v>162</v>
      </c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 t="s">
        <v>59</v>
      </c>
      <c r="M48" s="31"/>
      <c r="N48" s="31"/>
      <c r="O48" s="31"/>
      <c r="P48" s="31">
        <v>20</v>
      </c>
    </row>
    <row r="49" spans="1:16" x14ac:dyDescent="0.25">
      <c r="A49" s="32" t="s">
        <v>165</v>
      </c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 t="s">
        <v>61</v>
      </c>
      <c r="M49" s="32"/>
      <c r="N49" s="32"/>
      <c r="O49" s="32"/>
      <c r="P49" s="32">
        <v>20</v>
      </c>
    </row>
    <row r="50" spans="1:16" x14ac:dyDescent="0.25">
      <c r="A50" s="31" t="s">
        <v>143</v>
      </c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 t="s">
        <v>62</v>
      </c>
      <c r="M50" s="31"/>
      <c r="N50" s="31"/>
      <c r="O50" s="31"/>
      <c r="P50" s="31">
        <v>20</v>
      </c>
    </row>
    <row r="51" spans="1:16" x14ac:dyDescent="0.25">
      <c r="A51" s="32" t="s">
        <v>144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 t="s">
        <v>63</v>
      </c>
      <c r="M51" s="32"/>
      <c r="N51" s="32"/>
      <c r="O51" s="32"/>
      <c r="P51" s="32">
        <v>20</v>
      </c>
    </row>
    <row r="52" spans="1:16" x14ac:dyDescent="0.25">
      <c r="A52" s="31" t="s">
        <v>145</v>
      </c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 t="s">
        <v>64</v>
      </c>
      <c r="M52" s="31"/>
      <c r="N52" s="31"/>
      <c r="O52" s="31"/>
      <c r="P52" s="31">
        <v>20</v>
      </c>
    </row>
    <row r="53" spans="1:16" x14ac:dyDescent="0.25">
      <c r="A53" s="32" t="s">
        <v>146</v>
      </c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 t="s">
        <v>66</v>
      </c>
      <c r="M53" s="32"/>
      <c r="N53" s="32"/>
      <c r="O53" s="32"/>
      <c r="P53" s="32">
        <v>20</v>
      </c>
    </row>
    <row r="54" spans="1:16" x14ac:dyDescent="0.25">
      <c r="A54" s="31" t="s">
        <v>129</v>
      </c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 t="s">
        <v>67</v>
      </c>
      <c r="M54" s="31"/>
      <c r="N54" s="31"/>
      <c r="O54" s="31"/>
      <c r="P54" s="31">
        <v>20</v>
      </c>
    </row>
    <row r="55" spans="1:16" x14ac:dyDescent="0.25">
      <c r="A55" s="32" t="s">
        <v>147</v>
      </c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 t="s">
        <v>69</v>
      </c>
      <c r="M55" s="32"/>
      <c r="N55" s="32"/>
      <c r="O55" s="32"/>
      <c r="P55" s="32">
        <v>20</v>
      </c>
    </row>
    <row r="56" spans="1:16" x14ac:dyDescent="0.25">
      <c r="A56" s="31" t="s">
        <v>162</v>
      </c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 t="s">
        <v>70</v>
      </c>
      <c r="M56" s="31"/>
      <c r="N56" s="31"/>
      <c r="O56" s="31"/>
      <c r="P56" s="31">
        <v>20</v>
      </c>
    </row>
    <row r="57" spans="1:16" x14ac:dyDescent="0.25">
      <c r="A57" s="32" t="s">
        <v>165</v>
      </c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 t="s">
        <v>71</v>
      </c>
      <c r="M57" s="32"/>
      <c r="N57" s="32"/>
      <c r="O57" s="32"/>
      <c r="P57" s="32">
        <v>20</v>
      </c>
    </row>
    <row r="58" spans="1:16" x14ac:dyDescent="0.25">
      <c r="A58" s="31" t="s">
        <v>143</v>
      </c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 t="s">
        <v>72</v>
      </c>
      <c r="O58" s="31" t="s">
        <v>73</v>
      </c>
      <c r="P58" s="31">
        <v>20</v>
      </c>
    </row>
    <row r="59" spans="1:16" x14ac:dyDescent="0.25">
      <c r="A59" s="32" t="s">
        <v>144</v>
      </c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 t="s">
        <v>74</v>
      </c>
      <c r="O59" s="32" t="s">
        <v>75</v>
      </c>
      <c r="P59" s="32">
        <v>20</v>
      </c>
    </row>
    <row r="60" spans="1:16" x14ac:dyDescent="0.25">
      <c r="A60" s="31" t="s">
        <v>145</v>
      </c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 t="s">
        <v>76</v>
      </c>
      <c r="O60" s="31" t="s">
        <v>77</v>
      </c>
      <c r="P60" s="31">
        <v>20</v>
      </c>
    </row>
    <row r="61" spans="1:16" x14ac:dyDescent="0.25">
      <c r="A61" s="32" t="s">
        <v>146</v>
      </c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 t="s">
        <v>78</v>
      </c>
      <c r="O61" s="32" t="s">
        <v>79</v>
      </c>
      <c r="P61" s="32">
        <v>20</v>
      </c>
    </row>
    <row r="62" spans="1:16" x14ac:dyDescent="0.25">
      <c r="A62" s="31" t="s">
        <v>129</v>
      </c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 t="s">
        <v>80</v>
      </c>
      <c r="O62" s="31" t="s">
        <v>81</v>
      </c>
      <c r="P62" s="31">
        <v>20</v>
      </c>
    </row>
    <row r="63" spans="1:16" x14ac:dyDescent="0.25">
      <c r="A63" s="32" t="s">
        <v>147</v>
      </c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 t="s">
        <v>82</v>
      </c>
      <c r="O63" s="32" t="s">
        <v>83</v>
      </c>
      <c r="P63" s="32">
        <v>20</v>
      </c>
    </row>
    <row r="64" spans="1:16" x14ac:dyDescent="0.25">
      <c r="A64" s="31" t="s">
        <v>162</v>
      </c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 t="s">
        <v>84</v>
      </c>
      <c r="O64" s="31" t="s">
        <v>77</v>
      </c>
      <c r="P64" s="31">
        <v>20</v>
      </c>
    </row>
    <row r="65" spans="1:16" x14ac:dyDescent="0.25">
      <c r="A65" s="32" t="s">
        <v>165</v>
      </c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 t="s">
        <v>85</v>
      </c>
      <c r="O65" s="32" t="s">
        <v>86</v>
      </c>
      <c r="P65" s="32">
        <v>20</v>
      </c>
    </row>
    <row r="66" spans="1:16" x14ac:dyDescent="0.25">
      <c r="A66" s="31" t="s">
        <v>143</v>
      </c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 t="s">
        <v>87</v>
      </c>
      <c r="O66" s="31" t="s">
        <v>88</v>
      </c>
      <c r="P66" s="31">
        <v>20</v>
      </c>
    </row>
    <row r="67" spans="1:16" x14ac:dyDescent="0.25">
      <c r="A67" s="32" t="s">
        <v>144</v>
      </c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 t="s">
        <v>89</v>
      </c>
      <c r="O67" s="32" t="s">
        <v>90</v>
      </c>
      <c r="P67" s="32">
        <v>20</v>
      </c>
    </row>
    <row r="68" spans="1:16" x14ac:dyDescent="0.25">
      <c r="A68" s="31" t="s">
        <v>145</v>
      </c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 t="s">
        <v>91</v>
      </c>
      <c r="O68" s="31" t="s">
        <v>92</v>
      </c>
      <c r="P68" s="31">
        <v>20</v>
      </c>
    </row>
    <row r="69" spans="1:16" x14ac:dyDescent="0.25">
      <c r="A69" s="32" t="s">
        <v>146</v>
      </c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 t="s">
        <v>93</v>
      </c>
      <c r="O69" s="32" t="s">
        <v>94</v>
      </c>
      <c r="P69" s="32">
        <v>20</v>
      </c>
    </row>
    <row r="70" spans="1:16" x14ac:dyDescent="0.25">
      <c r="A70" s="31" t="s">
        <v>129</v>
      </c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 t="s">
        <v>95</v>
      </c>
      <c r="O70" s="31" t="s">
        <v>96</v>
      </c>
      <c r="P70" s="31">
        <v>20</v>
      </c>
    </row>
    <row r="71" spans="1:16" x14ac:dyDescent="0.25">
      <c r="A71" s="32" t="s">
        <v>147</v>
      </c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 t="s">
        <v>97</v>
      </c>
      <c r="O71" s="32" t="s">
        <v>98</v>
      </c>
      <c r="P71" s="32">
        <v>20</v>
      </c>
    </row>
    <row r="72" spans="1:16" x14ac:dyDescent="0.25">
      <c r="A72" s="31" t="s">
        <v>162</v>
      </c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 t="s">
        <v>99</v>
      </c>
      <c r="O72" s="31" t="s">
        <v>98</v>
      </c>
      <c r="P72" s="31">
        <v>20</v>
      </c>
    </row>
    <row r="73" spans="1:16" x14ac:dyDescent="0.25">
      <c r="A73" s="32" t="s">
        <v>165</v>
      </c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 t="s">
        <v>100</v>
      </c>
      <c r="O73" s="32" t="s">
        <v>101</v>
      </c>
      <c r="P73" s="32">
        <v>20</v>
      </c>
    </row>
    <row r="74" spans="1:16" x14ac:dyDescent="0.25">
      <c r="A74" s="31" t="s">
        <v>143</v>
      </c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 t="s">
        <v>102</v>
      </c>
      <c r="O74" s="31" t="s">
        <v>103</v>
      </c>
      <c r="P74" s="31">
        <v>20</v>
      </c>
    </row>
    <row r="75" spans="1:16" x14ac:dyDescent="0.25">
      <c r="A75" s="32" t="s">
        <v>144</v>
      </c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 t="s">
        <v>104</v>
      </c>
      <c r="O75" s="32" t="s">
        <v>103</v>
      </c>
      <c r="P75" s="32">
        <v>20</v>
      </c>
    </row>
    <row r="76" spans="1:16" x14ac:dyDescent="0.25">
      <c r="A76" s="31" t="s">
        <v>145</v>
      </c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 t="s">
        <v>105</v>
      </c>
      <c r="O76" s="31" t="s">
        <v>106</v>
      </c>
      <c r="P76" s="31">
        <v>20</v>
      </c>
    </row>
    <row r="77" spans="1:16" x14ac:dyDescent="0.25">
      <c r="A77" s="32" t="s">
        <v>146</v>
      </c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 t="s">
        <v>107</v>
      </c>
      <c r="O77" s="32" t="s">
        <v>79</v>
      </c>
      <c r="P77" s="32">
        <v>20</v>
      </c>
    </row>
    <row r="78" spans="1:16" x14ac:dyDescent="0.25">
      <c r="A78" s="31" t="s">
        <v>129</v>
      </c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 t="s">
        <v>108</v>
      </c>
      <c r="O78" s="31" t="s">
        <v>109</v>
      </c>
      <c r="P78" s="31">
        <v>20</v>
      </c>
    </row>
    <row r="79" spans="1:16" x14ac:dyDescent="0.25">
      <c r="A79" s="32" t="s">
        <v>147</v>
      </c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 t="s">
        <v>110</v>
      </c>
      <c r="O79" s="32" t="s">
        <v>111</v>
      </c>
      <c r="P79" s="32">
        <v>20</v>
      </c>
    </row>
    <row r="80" spans="1:16" x14ac:dyDescent="0.25">
      <c r="A80" s="31" t="s">
        <v>162</v>
      </c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 t="s">
        <v>112</v>
      </c>
      <c r="O80" s="31" t="s">
        <v>109</v>
      </c>
      <c r="P80" s="31">
        <v>20</v>
      </c>
    </row>
    <row r="81" spans="1:16" x14ac:dyDescent="0.25">
      <c r="A81" s="32" t="s">
        <v>165</v>
      </c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 t="s">
        <v>113</v>
      </c>
      <c r="O81" s="32" t="s">
        <v>109</v>
      </c>
      <c r="P81" s="32">
        <v>20</v>
      </c>
    </row>
    <row r="82" spans="1:16" x14ac:dyDescent="0.25">
      <c r="A82" s="31" t="s">
        <v>143</v>
      </c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 t="s">
        <v>114</v>
      </c>
      <c r="O82" s="31" t="s">
        <v>111</v>
      </c>
      <c r="P82" s="31">
        <v>20</v>
      </c>
    </row>
    <row r="83" spans="1:16" x14ac:dyDescent="0.25">
      <c r="A83" s="32" t="s">
        <v>144</v>
      </c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 t="s">
        <v>115</v>
      </c>
      <c r="O83" s="32" t="s">
        <v>111</v>
      </c>
      <c r="P83" s="32">
        <v>20</v>
      </c>
    </row>
    <row r="84" spans="1:16" x14ac:dyDescent="0.25">
      <c r="A84" s="31" t="s">
        <v>145</v>
      </c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 t="s">
        <v>116</v>
      </c>
      <c r="O84" s="31" t="s">
        <v>117</v>
      </c>
      <c r="P84" s="31">
        <v>20</v>
      </c>
    </row>
    <row r="85" spans="1:16" x14ac:dyDescent="0.25">
      <c r="A85" s="32" t="s">
        <v>146</v>
      </c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 t="s">
        <v>118</v>
      </c>
      <c r="O85" s="32" t="s">
        <v>117</v>
      </c>
      <c r="P85" s="32">
        <v>20</v>
      </c>
    </row>
    <row r="86" spans="1:16" x14ac:dyDescent="0.25">
      <c r="A86" s="31" t="s">
        <v>129</v>
      </c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 t="s">
        <v>119</v>
      </c>
      <c r="O86" s="31" t="s">
        <v>120</v>
      </c>
      <c r="P86" s="31">
        <v>20</v>
      </c>
    </row>
    <row r="87" spans="1:16" x14ac:dyDescent="0.25">
      <c r="A87" s="32" t="s">
        <v>147</v>
      </c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 t="s">
        <v>121</v>
      </c>
      <c r="O87" s="32" t="s">
        <v>122</v>
      </c>
      <c r="P87" s="32">
        <v>20</v>
      </c>
    </row>
    <row r="88" spans="1:16" x14ac:dyDescent="0.25">
      <c r="A88" s="31">
        <v>1</v>
      </c>
      <c r="B88" s="31" t="s">
        <v>167</v>
      </c>
      <c r="C88" s="31" t="s">
        <v>161</v>
      </c>
      <c r="D88" s="31" t="s">
        <v>157</v>
      </c>
      <c r="E88" s="31">
        <v>45689</v>
      </c>
      <c r="F88" s="31">
        <v>45900</v>
      </c>
      <c r="G88" s="31">
        <v>211</v>
      </c>
      <c r="H88" s="31">
        <v>45811</v>
      </c>
      <c r="I88" s="31">
        <v>122</v>
      </c>
      <c r="J88" s="31">
        <v>0.5781990521327014</v>
      </c>
      <c r="K88" s="31" t="s">
        <v>188</v>
      </c>
      <c r="L88" s="31"/>
      <c r="M88" s="31"/>
      <c r="N88" s="31"/>
      <c r="O88" s="31"/>
      <c r="P88" s="31">
        <v>21</v>
      </c>
    </row>
    <row r="89" spans="1:16" x14ac:dyDescent="0.25">
      <c r="A89" s="32">
        <v>2</v>
      </c>
      <c r="B89" s="32" t="s">
        <v>168</v>
      </c>
      <c r="C89" s="32" t="s">
        <v>161</v>
      </c>
      <c r="D89" s="32" t="s">
        <v>163</v>
      </c>
      <c r="E89" s="32">
        <v>45690</v>
      </c>
      <c r="F89" s="32">
        <v>45901</v>
      </c>
      <c r="G89" s="32">
        <v>211</v>
      </c>
      <c r="H89" s="32">
        <v>45811</v>
      </c>
      <c r="I89" s="32">
        <v>121</v>
      </c>
      <c r="J89" s="32">
        <v>0.57345971563981046</v>
      </c>
      <c r="K89" s="32" t="s">
        <v>189</v>
      </c>
      <c r="L89" s="32"/>
      <c r="M89" s="32"/>
      <c r="N89" s="32"/>
      <c r="O89" s="32"/>
      <c r="P89" s="32">
        <v>21</v>
      </c>
    </row>
    <row r="90" spans="1:16" x14ac:dyDescent="0.25">
      <c r="A90" s="31">
        <v>3</v>
      </c>
      <c r="B90" s="31" t="s">
        <v>169</v>
      </c>
      <c r="C90" s="31" t="s">
        <v>149</v>
      </c>
      <c r="D90" s="31" t="s">
        <v>163</v>
      </c>
      <c r="E90" s="31">
        <v>45691</v>
      </c>
      <c r="F90" s="31">
        <v>45902</v>
      </c>
      <c r="G90" s="31">
        <v>211</v>
      </c>
      <c r="H90" s="31">
        <v>45811</v>
      </c>
      <c r="I90" s="31">
        <v>120</v>
      </c>
      <c r="J90" s="31">
        <v>0.56872037914691942</v>
      </c>
      <c r="K90" s="31" t="s">
        <v>190</v>
      </c>
      <c r="L90" s="31"/>
      <c r="M90" s="31"/>
      <c r="N90" s="31"/>
      <c r="O90" s="31"/>
      <c r="P90" s="31">
        <v>21</v>
      </c>
    </row>
    <row r="91" spans="1:16" x14ac:dyDescent="0.25">
      <c r="A91" s="32">
        <v>4</v>
      </c>
      <c r="B91" s="32" t="s">
        <v>170</v>
      </c>
      <c r="C91" s="32" t="s">
        <v>150</v>
      </c>
      <c r="D91" s="32" t="s">
        <v>153</v>
      </c>
      <c r="E91" s="32">
        <v>45692</v>
      </c>
      <c r="F91" s="32">
        <v>45903</v>
      </c>
      <c r="G91" s="32">
        <v>211</v>
      </c>
      <c r="H91" s="32">
        <v>45811</v>
      </c>
      <c r="I91" s="32">
        <v>119</v>
      </c>
      <c r="J91" s="32">
        <v>0.56398104265402849</v>
      </c>
      <c r="K91" s="32" t="s">
        <v>191</v>
      </c>
      <c r="L91" s="32"/>
      <c r="M91" s="32"/>
      <c r="N91" s="32"/>
      <c r="O91" s="32"/>
      <c r="P91" s="32">
        <v>21</v>
      </c>
    </row>
    <row r="92" spans="1:16" x14ac:dyDescent="0.25">
      <c r="A92" s="31">
        <v>5</v>
      </c>
      <c r="B92" s="31" t="s">
        <v>171</v>
      </c>
      <c r="C92" s="31" t="s">
        <v>151</v>
      </c>
      <c r="D92" s="31" t="s">
        <v>154</v>
      </c>
      <c r="E92" s="31">
        <v>45693</v>
      </c>
      <c r="F92" s="31">
        <v>45904</v>
      </c>
      <c r="G92" s="31">
        <v>211</v>
      </c>
      <c r="H92" s="31">
        <v>45811</v>
      </c>
      <c r="I92" s="31">
        <v>118</v>
      </c>
      <c r="J92" s="31">
        <v>0.55924170616113744</v>
      </c>
      <c r="K92" s="31" t="s">
        <v>192</v>
      </c>
      <c r="L92" s="31"/>
      <c r="M92" s="31"/>
      <c r="N92" s="31"/>
      <c r="O92" s="31"/>
      <c r="P92" s="31">
        <v>21</v>
      </c>
    </row>
    <row r="93" spans="1:16" x14ac:dyDescent="0.25">
      <c r="A93" s="32">
        <v>6</v>
      </c>
      <c r="B93" s="32" t="s">
        <v>172</v>
      </c>
      <c r="C93" s="32" t="s">
        <v>152</v>
      </c>
      <c r="D93" s="32" t="s">
        <v>155</v>
      </c>
      <c r="E93" s="32">
        <v>45694</v>
      </c>
      <c r="F93" s="32">
        <v>45905</v>
      </c>
      <c r="G93" s="32">
        <v>211</v>
      </c>
      <c r="H93" s="32">
        <v>45811</v>
      </c>
      <c r="I93" s="32">
        <v>117</v>
      </c>
      <c r="J93" s="32">
        <v>0.5545023696682464</v>
      </c>
      <c r="K93" s="32" t="s">
        <v>193</v>
      </c>
      <c r="L93" s="32"/>
      <c r="M93" s="32"/>
      <c r="N93" s="32"/>
      <c r="O93" s="32"/>
      <c r="P93" s="32">
        <v>21</v>
      </c>
    </row>
    <row r="94" spans="1:16" x14ac:dyDescent="0.25">
      <c r="A94" s="31">
        <v>7</v>
      </c>
      <c r="B94" s="31" t="s">
        <v>173</v>
      </c>
      <c r="C94" s="31" t="s">
        <v>149</v>
      </c>
      <c r="D94" s="31" t="s">
        <v>155</v>
      </c>
      <c r="E94" s="31">
        <v>45695</v>
      </c>
      <c r="F94" s="31">
        <v>45906</v>
      </c>
      <c r="G94" s="31">
        <v>211</v>
      </c>
      <c r="H94" s="31">
        <v>45811</v>
      </c>
      <c r="I94" s="31">
        <v>116</v>
      </c>
      <c r="J94" s="31">
        <v>0.54976303317535546</v>
      </c>
      <c r="K94" s="31" t="s">
        <v>194</v>
      </c>
      <c r="L94" s="31"/>
      <c r="M94" s="31"/>
      <c r="N94" s="31"/>
      <c r="O94" s="31"/>
      <c r="P94" s="31">
        <v>21</v>
      </c>
    </row>
    <row r="95" spans="1:16" x14ac:dyDescent="0.25">
      <c r="A95" s="32">
        <v>8</v>
      </c>
      <c r="B95" s="32" t="s">
        <v>174</v>
      </c>
      <c r="C95" s="32" t="s">
        <v>150</v>
      </c>
      <c r="D95" s="32" t="s">
        <v>156</v>
      </c>
      <c r="E95" s="32">
        <v>45696</v>
      </c>
      <c r="F95" s="32">
        <v>45907</v>
      </c>
      <c r="G95" s="32">
        <v>211</v>
      </c>
      <c r="H95" s="32">
        <v>45811</v>
      </c>
      <c r="I95" s="32">
        <v>115</v>
      </c>
      <c r="J95" s="32">
        <v>0.54502369668246442</v>
      </c>
      <c r="K95" s="32" t="s">
        <v>195</v>
      </c>
      <c r="L95" s="32"/>
      <c r="M95" s="32"/>
      <c r="N95" s="32"/>
      <c r="O95" s="32"/>
      <c r="P95" s="32">
        <v>21</v>
      </c>
    </row>
    <row r="96" spans="1:16" x14ac:dyDescent="0.25">
      <c r="A96" s="31">
        <v>1</v>
      </c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 t="s">
        <v>0</v>
      </c>
      <c r="M96" s="31"/>
      <c r="N96" s="31"/>
      <c r="O96" s="31"/>
      <c r="P96" s="31">
        <v>21</v>
      </c>
    </row>
    <row r="97" spans="1:16" x14ac:dyDescent="0.25">
      <c r="A97" s="32">
        <v>2</v>
      </c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 t="s">
        <v>1</v>
      </c>
      <c r="M97" s="32"/>
      <c r="N97" s="32"/>
      <c r="O97" s="32"/>
      <c r="P97" s="32">
        <v>21</v>
      </c>
    </row>
    <row r="98" spans="1:16" x14ac:dyDescent="0.25">
      <c r="A98" s="31">
        <v>3</v>
      </c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 t="s">
        <v>3</v>
      </c>
      <c r="M98" s="31" t="s">
        <v>2</v>
      </c>
      <c r="N98" s="31"/>
      <c r="O98" s="31"/>
      <c r="P98" s="31">
        <v>21</v>
      </c>
    </row>
    <row r="99" spans="1:16" x14ac:dyDescent="0.25">
      <c r="A99" s="32">
        <v>4</v>
      </c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 t="s">
        <v>3</v>
      </c>
      <c r="M99" s="32" t="s">
        <v>4</v>
      </c>
      <c r="N99" s="32"/>
      <c r="O99" s="32"/>
      <c r="P99" s="32">
        <v>21</v>
      </c>
    </row>
    <row r="100" spans="1:16" x14ac:dyDescent="0.25">
      <c r="A100" s="31">
        <v>5</v>
      </c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 t="s">
        <v>5</v>
      </c>
      <c r="M100" s="31" t="s">
        <v>4</v>
      </c>
      <c r="N100" s="31"/>
      <c r="O100" s="31"/>
      <c r="P100" s="31">
        <v>21</v>
      </c>
    </row>
    <row r="101" spans="1:16" x14ac:dyDescent="0.25">
      <c r="A101" s="32">
        <v>6</v>
      </c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 t="s">
        <v>6</v>
      </c>
      <c r="M101" s="32" t="s">
        <v>2</v>
      </c>
      <c r="N101" s="32"/>
      <c r="O101" s="32"/>
      <c r="P101" s="32">
        <v>21</v>
      </c>
    </row>
    <row r="102" spans="1:16" x14ac:dyDescent="0.25">
      <c r="A102" s="31">
        <v>7</v>
      </c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 t="s">
        <v>7</v>
      </c>
      <c r="M102" s="31"/>
      <c r="N102" s="31"/>
      <c r="O102" s="31"/>
      <c r="P102" s="31">
        <v>21</v>
      </c>
    </row>
    <row r="103" spans="1:16" x14ac:dyDescent="0.25">
      <c r="A103" s="32">
        <v>8</v>
      </c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 t="s">
        <v>8</v>
      </c>
      <c r="M103" s="32" t="s">
        <v>2</v>
      </c>
      <c r="N103" s="32"/>
      <c r="O103" s="32"/>
      <c r="P103" s="32">
        <v>21</v>
      </c>
    </row>
    <row r="104" spans="1:16" x14ac:dyDescent="0.25">
      <c r="A104" s="31">
        <v>1</v>
      </c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 t="s">
        <v>9</v>
      </c>
      <c r="M104" s="31"/>
      <c r="N104" s="31"/>
      <c r="O104" s="31"/>
      <c r="P104" s="31">
        <v>21</v>
      </c>
    </row>
    <row r="105" spans="1:16" x14ac:dyDescent="0.25">
      <c r="A105" s="32">
        <v>2</v>
      </c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 t="s">
        <v>11</v>
      </c>
      <c r="M105" s="32" t="s">
        <v>10</v>
      </c>
      <c r="N105" s="32"/>
      <c r="O105" s="32"/>
      <c r="P105" s="32">
        <v>21</v>
      </c>
    </row>
    <row r="106" spans="1:16" x14ac:dyDescent="0.25">
      <c r="A106" s="31">
        <v>3</v>
      </c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 t="s">
        <v>12</v>
      </c>
      <c r="M106" s="31" t="s">
        <v>2</v>
      </c>
      <c r="N106" s="31"/>
      <c r="O106" s="31"/>
      <c r="P106" s="31">
        <v>21</v>
      </c>
    </row>
    <row r="107" spans="1:16" x14ac:dyDescent="0.25">
      <c r="A107" s="32">
        <v>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 t="s">
        <v>14</v>
      </c>
      <c r="M107" s="32" t="s">
        <v>13</v>
      </c>
      <c r="N107" s="32"/>
      <c r="O107" s="32"/>
      <c r="P107" s="32">
        <v>21</v>
      </c>
    </row>
    <row r="108" spans="1:16" x14ac:dyDescent="0.25">
      <c r="A108" s="31">
        <v>5</v>
      </c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 t="s">
        <v>15</v>
      </c>
      <c r="M108" s="31"/>
      <c r="N108" s="31"/>
      <c r="O108" s="31"/>
      <c r="P108" s="31">
        <v>21</v>
      </c>
    </row>
    <row r="109" spans="1:16" x14ac:dyDescent="0.25">
      <c r="A109" s="32">
        <v>1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 t="s">
        <v>17</v>
      </c>
      <c r="M109" s="32" t="s">
        <v>16</v>
      </c>
      <c r="N109" s="32"/>
      <c r="O109" s="32"/>
      <c r="P109" s="32">
        <v>21</v>
      </c>
    </row>
    <row r="110" spans="1:16" x14ac:dyDescent="0.25">
      <c r="A110" s="31">
        <v>2</v>
      </c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 t="s">
        <v>18</v>
      </c>
      <c r="M110" s="31" t="s">
        <v>13</v>
      </c>
      <c r="N110" s="31"/>
      <c r="O110" s="31"/>
      <c r="P110" s="31">
        <v>21</v>
      </c>
    </row>
    <row r="111" spans="1:16" x14ac:dyDescent="0.25">
      <c r="A111" s="32">
        <v>3</v>
      </c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 t="s">
        <v>19</v>
      </c>
      <c r="M111" s="32"/>
      <c r="N111" s="32"/>
      <c r="O111" s="32"/>
      <c r="P111" s="32">
        <v>21</v>
      </c>
    </row>
    <row r="112" spans="1:16" x14ac:dyDescent="0.25">
      <c r="A112" s="31">
        <v>4</v>
      </c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 t="s">
        <v>21</v>
      </c>
      <c r="M112" s="31" t="s">
        <v>20</v>
      </c>
      <c r="N112" s="31"/>
      <c r="O112" s="31"/>
      <c r="P112" s="31">
        <v>21</v>
      </c>
    </row>
    <row r="113" spans="1:16" x14ac:dyDescent="0.25">
      <c r="A113" s="32">
        <v>5</v>
      </c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 t="s">
        <v>22</v>
      </c>
      <c r="M113" s="32"/>
      <c r="N113" s="32"/>
      <c r="O113" s="32"/>
      <c r="P113" s="32">
        <v>21</v>
      </c>
    </row>
    <row r="114" spans="1:16" x14ac:dyDescent="0.25">
      <c r="A114" s="31">
        <v>6</v>
      </c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 t="s">
        <v>24</v>
      </c>
      <c r="M114" s="31" t="s">
        <v>23</v>
      </c>
      <c r="N114" s="31"/>
      <c r="O114" s="31"/>
      <c r="P114" s="31">
        <v>21</v>
      </c>
    </row>
    <row r="115" spans="1:16" x14ac:dyDescent="0.25">
      <c r="A115" s="32">
        <v>7</v>
      </c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 t="s">
        <v>26</v>
      </c>
      <c r="M115" s="32" t="s">
        <v>25</v>
      </c>
      <c r="N115" s="32"/>
      <c r="O115" s="32"/>
      <c r="P115" s="32">
        <v>21</v>
      </c>
    </row>
    <row r="116" spans="1:16" x14ac:dyDescent="0.25">
      <c r="A116" s="31">
        <v>1</v>
      </c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 t="s">
        <v>28</v>
      </c>
      <c r="M116" s="31" t="s">
        <v>27</v>
      </c>
      <c r="N116" s="31"/>
      <c r="O116" s="31"/>
      <c r="P116" s="31">
        <v>21</v>
      </c>
    </row>
    <row r="117" spans="1:16" x14ac:dyDescent="0.25">
      <c r="A117" s="32">
        <v>2</v>
      </c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 t="s">
        <v>30</v>
      </c>
      <c r="M117" s="32" t="s">
        <v>29</v>
      </c>
      <c r="N117" s="32"/>
      <c r="O117" s="32"/>
      <c r="P117" s="32">
        <v>21</v>
      </c>
    </row>
    <row r="118" spans="1:16" x14ac:dyDescent="0.25">
      <c r="A118" s="31">
        <v>3</v>
      </c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 t="s">
        <v>32</v>
      </c>
      <c r="M118" s="31" t="s">
        <v>31</v>
      </c>
      <c r="N118" s="31"/>
      <c r="O118" s="31"/>
      <c r="P118" s="31">
        <v>21</v>
      </c>
    </row>
    <row r="119" spans="1:16" x14ac:dyDescent="0.25">
      <c r="A119" s="32">
        <v>4</v>
      </c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 t="s">
        <v>33</v>
      </c>
      <c r="M119" s="32" t="s">
        <v>2</v>
      </c>
      <c r="N119" s="32"/>
      <c r="O119" s="32"/>
      <c r="P119" s="32">
        <v>21</v>
      </c>
    </row>
    <row r="120" spans="1:16" x14ac:dyDescent="0.25">
      <c r="A120" s="31">
        <v>5</v>
      </c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 t="s">
        <v>35</v>
      </c>
      <c r="M120" s="31" t="s">
        <v>34</v>
      </c>
      <c r="N120" s="31"/>
      <c r="O120" s="31"/>
      <c r="P120" s="31">
        <v>21</v>
      </c>
    </row>
    <row r="121" spans="1:16" x14ac:dyDescent="0.25">
      <c r="A121" s="32">
        <v>6</v>
      </c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 t="s">
        <v>37</v>
      </c>
      <c r="M121" s="32" t="s">
        <v>36</v>
      </c>
      <c r="N121" s="32"/>
      <c r="O121" s="32"/>
      <c r="P121" s="32">
        <v>21</v>
      </c>
    </row>
    <row r="122" spans="1:16" x14ac:dyDescent="0.25">
      <c r="A122" s="31">
        <v>7</v>
      </c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 t="s">
        <v>38</v>
      </c>
      <c r="M122" s="31"/>
      <c r="N122" s="31"/>
      <c r="O122" s="31"/>
      <c r="P122" s="31">
        <v>21</v>
      </c>
    </row>
    <row r="123" spans="1:16" x14ac:dyDescent="0.25">
      <c r="A123" s="32">
        <v>8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 t="s">
        <v>40</v>
      </c>
      <c r="M123" s="32" t="s">
        <v>39</v>
      </c>
      <c r="N123" s="32"/>
      <c r="O123" s="32"/>
      <c r="P123" s="32">
        <v>21</v>
      </c>
    </row>
    <row r="124" spans="1:16" x14ac:dyDescent="0.25">
      <c r="A124" s="31">
        <v>1</v>
      </c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 t="s">
        <v>42</v>
      </c>
      <c r="M124" s="31" t="s">
        <v>41</v>
      </c>
      <c r="N124" s="31"/>
      <c r="O124" s="31"/>
      <c r="P124" s="31">
        <v>21</v>
      </c>
    </row>
    <row r="125" spans="1:16" x14ac:dyDescent="0.25">
      <c r="A125" s="32">
        <v>1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 t="s">
        <v>43</v>
      </c>
      <c r="M125" s="32"/>
      <c r="N125" s="32"/>
      <c r="O125" s="32"/>
      <c r="P125" s="32">
        <v>21</v>
      </c>
    </row>
    <row r="126" spans="1:16" x14ac:dyDescent="0.25">
      <c r="A126" s="31">
        <v>1</v>
      </c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 t="s">
        <v>45</v>
      </c>
      <c r="M126" s="31" t="s">
        <v>44</v>
      </c>
      <c r="N126" s="31"/>
      <c r="O126" s="31"/>
      <c r="P126" s="31">
        <v>21</v>
      </c>
    </row>
    <row r="127" spans="1:16" x14ac:dyDescent="0.25">
      <c r="A127" s="32">
        <v>2</v>
      </c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 t="s">
        <v>47</v>
      </c>
      <c r="M127" s="32" t="s">
        <v>46</v>
      </c>
      <c r="N127" s="32"/>
      <c r="O127" s="32"/>
      <c r="P127" s="32">
        <v>21</v>
      </c>
    </row>
    <row r="128" spans="1:16" x14ac:dyDescent="0.25">
      <c r="A128" s="31">
        <v>3</v>
      </c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 t="s">
        <v>49</v>
      </c>
      <c r="M128" s="31" t="s">
        <v>48</v>
      </c>
      <c r="N128" s="31"/>
      <c r="O128" s="31"/>
      <c r="P128" s="31">
        <v>21</v>
      </c>
    </row>
    <row r="129" spans="1:16" x14ac:dyDescent="0.25">
      <c r="A129" s="32">
        <v>4</v>
      </c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 t="s">
        <v>51</v>
      </c>
      <c r="M129" s="32" t="s">
        <v>50</v>
      </c>
      <c r="N129" s="32"/>
      <c r="O129" s="32"/>
      <c r="P129" s="32">
        <v>21</v>
      </c>
    </row>
    <row r="130" spans="1:16" x14ac:dyDescent="0.25">
      <c r="A130" s="31">
        <v>5</v>
      </c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 t="s">
        <v>53</v>
      </c>
      <c r="M130" s="31" t="s">
        <v>52</v>
      </c>
      <c r="N130" s="31"/>
      <c r="O130" s="31"/>
      <c r="P130" s="31">
        <v>21</v>
      </c>
    </row>
    <row r="131" spans="1:16" x14ac:dyDescent="0.25">
      <c r="A131" s="32">
        <v>6</v>
      </c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 t="s">
        <v>54</v>
      </c>
      <c r="M131" s="32" t="s">
        <v>13</v>
      </c>
      <c r="N131" s="32"/>
      <c r="O131" s="32"/>
      <c r="P131" s="32">
        <v>21</v>
      </c>
    </row>
    <row r="132" spans="1:16" x14ac:dyDescent="0.25">
      <c r="A132" s="31">
        <v>7</v>
      </c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 t="s">
        <v>55</v>
      </c>
      <c r="M132" s="31" t="s">
        <v>2</v>
      </c>
      <c r="N132" s="31"/>
      <c r="O132" s="31"/>
      <c r="P132" s="31">
        <v>21</v>
      </c>
    </row>
    <row r="133" spans="1:16" x14ac:dyDescent="0.25">
      <c r="A133" s="32">
        <v>8</v>
      </c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 t="s">
        <v>57</v>
      </c>
      <c r="M133" s="32" t="s">
        <v>56</v>
      </c>
      <c r="N133" s="32"/>
      <c r="O133" s="32"/>
      <c r="P133" s="32">
        <v>21</v>
      </c>
    </row>
    <row r="134" spans="1:16" x14ac:dyDescent="0.25">
      <c r="A134" s="31">
        <v>1</v>
      </c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 t="s">
        <v>59</v>
      </c>
      <c r="M134" s="31" t="s">
        <v>58</v>
      </c>
      <c r="N134" s="31"/>
      <c r="O134" s="31"/>
      <c r="P134" s="31">
        <v>21</v>
      </c>
    </row>
    <row r="135" spans="1:16" x14ac:dyDescent="0.25">
      <c r="A135" s="32">
        <v>2</v>
      </c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 t="s">
        <v>61</v>
      </c>
      <c r="M135" s="32" t="s">
        <v>60</v>
      </c>
      <c r="N135" s="32"/>
      <c r="O135" s="32"/>
      <c r="P135" s="32">
        <v>21</v>
      </c>
    </row>
    <row r="136" spans="1:16" x14ac:dyDescent="0.25">
      <c r="A136" s="31">
        <v>1</v>
      </c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 t="s">
        <v>62</v>
      </c>
      <c r="M136" s="31" t="s">
        <v>27</v>
      </c>
      <c r="N136" s="31"/>
      <c r="O136" s="31"/>
      <c r="P136" s="31">
        <v>21</v>
      </c>
    </row>
    <row r="137" spans="1:16" x14ac:dyDescent="0.25">
      <c r="A137" s="32">
        <v>2</v>
      </c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 t="s">
        <v>63</v>
      </c>
      <c r="M137" s="32" t="s">
        <v>27</v>
      </c>
      <c r="N137" s="32"/>
      <c r="O137" s="32"/>
      <c r="P137" s="32">
        <v>21</v>
      </c>
    </row>
    <row r="138" spans="1:16" x14ac:dyDescent="0.25">
      <c r="A138" s="31">
        <v>3</v>
      </c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 t="s">
        <v>64</v>
      </c>
      <c r="M138" s="31"/>
      <c r="N138" s="31"/>
      <c r="O138" s="31"/>
      <c r="P138" s="31">
        <v>21</v>
      </c>
    </row>
    <row r="139" spans="1:16" x14ac:dyDescent="0.25">
      <c r="A139" s="32">
        <v>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 t="s">
        <v>66</v>
      </c>
      <c r="M139" s="32" t="s">
        <v>65</v>
      </c>
      <c r="N139" s="32"/>
      <c r="O139" s="32"/>
      <c r="P139" s="32">
        <v>21</v>
      </c>
    </row>
    <row r="140" spans="1:16" x14ac:dyDescent="0.25">
      <c r="A140" s="31">
        <v>5</v>
      </c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 t="s">
        <v>67</v>
      </c>
      <c r="M140" s="31" t="s">
        <v>2</v>
      </c>
      <c r="N140" s="31"/>
      <c r="O140" s="31"/>
      <c r="P140" s="31">
        <v>21</v>
      </c>
    </row>
    <row r="141" spans="1:16" x14ac:dyDescent="0.25">
      <c r="A141" s="32">
        <v>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 t="s">
        <v>69</v>
      </c>
      <c r="M141" s="32" t="s">
        <v>68</v>
      </c>
      <c r="N141" s="32"/>
      <c r="O141" s="32"/>
      <c r="P141" s="32">
        <v>21</v>
      </c>
    </row>
    <row r="142" spans="1:16" x14ac:dyDescent="0.25">
      <c r="A142" s="31">
        <v>7</v>
      </c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 t="s">
        <v>70</v>
      </c>
      <c r="M142" s="31" t="s">
        <v>65</v>
      </c>
      <c r="N142" s="31"/>
      <c r="O142" s="31"/>
      <c r="P142" s="31">
        <v>21</v>
      </c>
    </row>
    <row r="143" spans="1:16" x14ac:dyDescent="0.25">
      <c r="A143" s="32">
        <v>8</v>
      </c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 t="s">
        <v>71</v>
      </c>
      <c r="M143" s="32" t="s">
        <v>65</v>
      </c>
      <c r="N143" s="32"/>
      <c r="O143" s="32"/>
      <c r="P143" s="32">
        <v>21</v>
      </c>
    </row>
    <row r="144" spans="1:16" x14ac:dyDescent="0.25">
      <c r="A144" s="31">
        <v>1</v>
      </c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 t="s">
        <v>72</v>
      </c>
      <c r="O144" s="31" t="s">
        <v>73</v>
      </c>
      <c r="P144" s="31">
        <v>21</v>
      </c>
    </row>
    <row r="145" spans="1:16" x14ac:dyDescent="0.25">
      <c r="A145" s="32">
        <v>2</v>
      </c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  <c r="M145" s="32"/>
      <c r="N145" s="32" t="s">
        <v>74</v>
      </c>
      <c r="O145" s="32" t="s">
        <v>75</v>
      </c>
      <c r="P145" s="32">
        <v>21</v>
      </c>
    </row>
    <row r="146" spans="1:16" x14ac:dyDescent="0.25">
      <c r="A146" s="31">
        <v>3</v>
      </c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 t="s">
        <v>76</v>
      </c>
      <c r="O146" s="31" t="s">
        <v>77</v>
      </c>
      <c r="P146" s="31">
        <v>21</v>
      </c>
    </row>
    <row r="147" spans="1:16" x14ac:dyDescent="0.25">
      <c r="A147" s="32">
        <v>4</v>
      </c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  <c r="M147" s="32"/>
      <c r="N147" s="32" t="s">
        <v>78</v>
      </c>
      <c r="O147" s="32" t="s">
        <v>79</v>
      </c>
      <c r="P147" s="32">
        <v>21</v>
      </c>
    </row>
    <row r="148" spans="1:16" x14ac:dyDescent="0.25">
      <c r="A148" s="31">
        <v>5</v>
      </c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 t="s">
        <v>80</v>
      </c>
      <c r="O148" s="31" t="s">
        <v>81</v>
      </c>
      <c r="P148" s="31">
        <v>21</v>
      </c>
    </row>
    <row r="149" spans="1:16" x14ac:dyDescent="0.25">
      <c r="A149" s="32">
        <v>6</v>
      </c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  <c r="M149" s="32"/>
      <c r="N149" s="32" t="s">
        <v>82</v>
      </c>
      <c r="O149" s="32" t="s">
        <v>83</v>
      </c>
      <c r="P149" s="32">
        <v>21</v>
      </c>
    </row>
    <row r="150" spans="1:16" x14ac:dyDescent="0.25">
      <c r="A150" s="31">
        <v>7</v>
      </c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 t="s">
        <v>84</v>
      </c>
      <c r="O150" s="31" t="s">
        <v>77</v>
      </c>
      <c r="P150" s="31">
        <v>21</v>
      </c>
    </row>
    <row r="151" spans="1:16" x14ac:dyDescent="0.25">
      <c r="A151" s="32">
        <v>8</v>
      </c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 t="s">
        <v>85</v>
      </c>
      <c r="O151" s="32" t="s">
        <v>86</v>
      </c>
      <c r="P151" s="32">
        <v>21</v>
      </c>
    </row>
    <row r="152" spans="1:16" x14ac:dyDescent="0.25">
      <c r="A152" s="31">
        <v>1</v>
      </c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 t="s">
        <v>87</v>
      </c>
      <c r="O152" s="31" t="s">
        <v>88</v>
      </c>
      <c r="P152" s="31">
        <v>21</v>
      </c>
    </row>
    <row r="153" spans="1:16" x14ac:dyDescent="0.25">
      <c r="A153" s="32">
        <v>2</v>
      </c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  <c r="M153" s="32"/>
      <c r="N153" s="32" t="s">
        <v>89</v>
      </c>
      <c r="O153" s="32" t="s">
        <v>90</v>
      </c>
      <c r="P153" s="32">
        <v>21</v>
      </c>
    </row>
    <row r="154" spans="1:16" x14ac:dyDescent="0.25">
      <c r="A154" s="31">
        <v>3</v>
      </c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 t="s">
        <v>91</v>
      </c>
      <c r="O154" s="31" t="s">
        <v>92</v>
      </c>
      <c r="P154" s="31">
        <v>21</v>
      </c>
    </row>
    <row r="155" spans="1:16" x14ac:dyDescent="0.25">
      <c r="A155" s="32">
        <v>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 t="s">
        <v>93</v>
      </c>
      <c r="O155" s="32" t="s">
        <v>94</v>
      </c>
      <c r="P155" s="32">
        <v>21</v>
      </c>
    </row>
    <row r="156" spans="1:16" x14ac:dyDescent="0.25">
      <c r="A156" s="31">
        <v>5</v>
      </c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 t="s">
        <v>95</v>
      </c>
      <c r="O156" s="31" t="s">
        <v>96</v>
      </c>
      <c r="P156" s="31">
        <v>21</v>
      </c>
    </row>
    <row r="157" spans="1:16" x14ac:dyDescent="0.25">
      <c r="A157" s="32">
        <v>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 t="s">
        <v>97</v>
      </c>
      <c r="O157" s="32" t="s">
        <v>98</v>
      </c>
      <c r="P157" s="32">
        <v>21</v>
      </c>
    </row>
    <row r="158" spans="1:16" x14ac:dyDescent="0.25">
      <c r="A158" s="31">
        <v>7</v>
      </c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 t="s">
        <v>99</v>
      </c>
      <c r="O158" s="31" t="s">
        <v>98</v>
      </c>
      <c r="P158" s="31">
        <v>21</v>
      </c>
    </row>
    <row r="159" spans="1:16" x14ac:dyDescent="0.25">
      <c r="A159" s="32">
        <v>8</v>
      </c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  <c r="M159" s="32"/>
      <c r="N159" s="32" t="s">
        <v>100</v>
      </c>
      <c r="O159" s="32" t="s">
        <v>101</v>
      </c>
      <c r="P159" s="32">
        <v>21</v>
      </c>
    </row>
    <row r="160" spans="1:16" x14ac:dyDescent="0.25">
      <c r="A160" s="31">
        <v>1</v>
      </c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 t="s">
        <v>102</v>
      </c>
      <c r="O160" s="31" t="s">
        <v>103</v>
      </c>
      <c r="P160" s="31">
        <v>21</v>
      </c>
    </row>
    <row r="161" spans="1:16" x14ac:dyDescent="0.25">
      <c r="A161" s="32">
        <v>2</v>
      </c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 t="s">
        <v>104</v>
      </c>
      <c r="O161" s="32" t="s">
        <v>103</v>
      </c>
      <c r="P161" s="32">
        <v>21</v>
      </c>
    </row>
    <row r="162" spans="1:16" x14ac:dyDescent="0.25">
      <c r="A162" s="31">
        <v>3</v>
      </c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 t="s">
        <v>105</v>
      </c>
      <c r="O162" s="31" t="s">
        <v>106</v>
      </c>
      <c r="P162" s="31">
        <v>21</v>
      </c>
    </row>
    <row r="163" spans="1:16" x14ac:dyDescent="0.25">
      <c r="A163" s="32">
        <v>4</v>
      </c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 t="s">
        <v>107</v>
      </c>
      <c r="O163" s="32" t="s">
        <v>79</v>
      </c>
      <c r="P163" s="32">
        <v>21</v>
      </c>
    </row>
    <row r="164" spans="1:16" x14ac:dyDescent="0.25">
      <c r="A164" s="31">
        <v>5</v>
      </c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 t="s">
        <v>108</v>
      </c>
      <c r="O164" s="31" t="s">
        <v>109</v>
      </c>
      <c r="P164" s="31">
        <v>21</v>
      </c>
    </row>
    <row r="165" spans="1:16" x14ac:dyDescent="0.25">
      <c r="A165" s="32">
        <v>6</v>
      </c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 t="s">
        <v>110</v>
      </c>
      <c r="O165" s="32" t="s">
        <v>111</v>
      </c>
      <c r="P165" s="32">
        <v>21</v>
      </c>
    </row>
    <row r="166" spans="1:16" x14ac:dyDescent="0.25">
      <c r="A166" s="31">
        <v>7</v>
      </c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 t="s">
        <v>112</v>
      </c>
      <c r="O166" s="31" t="s">
        <v>109</v>
      </c>
      <c r="P166" s="31">
        <v>21</v>
      </c>
    </row>
    <row r="167" spans="1:16" x14ac:dyDescent="0.25">
      <c r="A167" s="32">
        <v>8</v>
      </c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  <c r="M167" s="32"/>
      <c r="N167" s="32" t="s">
        <v>113</v>
      </c>
      <c r="O167" s="32" t="s">
        <v>109</v>
      </c>
      <c r="P167" s="32">
        <v>21</v>
      </c>
    </row>
    <row r="168" spans="1:16" x14ac:dyDescent="0.25">
      <c r="A168" s="31">
        <v>1</v>
      </c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 t="s">
        <v>114</v>
      </c>
      <c r="O168" s="31" t="s">
        <v>111</v>
      </c>
      <c r="P168" s="31">
        <v>21</v>
      </c>
    </row>
    <row r="169" spans="1:16" x14ac:dyDescent="0.25">
      <c r="A169" s="32">
        <v>2</v>
      </c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2"/>
      <c r="N169" s="32" t="s">
        <v>115</v>
      </c>
      <c r="O169" s="32" t="s">
        <v>111</v>
      </c>
      <c r="P169" s="32">
        <v>21</v>
      </c>
    </row>
    <row r="170" spans="1:16" x14ac:dyDescent="0.25">
      <c r="A170" s="31">
        <v>3</v>
      </c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 t="s">
        <v>116</v>
      </c>
      <c r="O170" s="31" t="s">
        <v>117</v>
      </c>
      <c r="P170" s="31">
        <v>21</v>
      </c>
    </row>
    <row r="171" spans="1:16" x14ac:dyDescent="0.25">
      <c r="A171" s="32">
        <v>4</v>
      </c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  <c r="M171" s="32"/>
      <c r="N171" s="32" t="s">
        <v>118</v>
      </c>
      <c r="O171" s="32" t="s">
        <v>117</v>
      </c>
      <c r="P171" s="32">
        <v>21</v>
      </c>
    </row>
    <row r="172" spans="1:16" x14ac:dyDescent="0.25">
      <c r="A172" s="31">
        <v>5</v>
      </c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 t="s">
        <v>119</v>
      </c>
      <c r="O172" s="31" t="s">
        <v>120</v>
      </c>
      <c r="P172" s="31">
        <v>21</v>
      </c>
    </row>
    <row r="173" spans="1:16" x14ac:dyDescent="0.25">
      <c r="A173" s="32">
        <v>6</v>
      </c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 t="s">
        <v>121</v>
      </c>
      <c r="O173" s="32" t="s">
        <v>122</v>
      </c>
      <c r="P173" s="32">
        <v>21</v>
      </c>
    </row>
    <row r="174" spans="1:16" x14ac:dyDescent="0.25">
      <c r="A174" s="31" t="s">
        <v>176</v>
      </c>
      <c r="B174" s="31" t="s">
        <v>137</v>
      </c>
      <c r="C174" s="31" t="s">
        <v>148</v>
      </c>
      <c r="D174" s="31" t="s">
        <v>153</v>
      </c>
      <c r="E174" s="31">
        <v>45658</v>
      </c>
      <c r="F174" s="31">
        <v>45869</v>
      </c>
      <c r="G174" s="31">
        <v>211</v>
      </c>
      <c r="H174" s="31">
        <v>45811</v>
      </c>
      <c r="I174" s="31">
        <v>153</v>
      </c>
      <c r="J174" s="31">
        <v>0.72511848341232232</v>
      </c>
      <c r="K174" s="31" t="s">
        <v>188</v>
      </c>
      <c r="L174" s="31"/>
      <c r="M174" s="31"/>
      <c r="N174" s="31"/>
      <c r="O174" s="31"/>
      <c r="P174" s="31">
        <v>22</v>
      </c>
    </row>
    <row r="175" spans="1:16" x14ac:dyDescent="0.25">
      <c r="A175" s="32" t="s">
        <v>177</v>
      </c>
      <c r="B175" s="32" t="s">
        <v>138</v>
      </c>
      <c r="C175" s="32" t="s">
        <v>148</v>
      </c>
      <c r="D175" s="32" t="s">
        <v>154</v>
      </c>
      <c r="E175" s="32">
        <v>45659</v>
      </c>
      <c r="F175" s="32">
        <v>45870</v>
      </c>
      <c r="G175" s="32">
        <v>211</v>
      </c>
      <c r="H175" s="32">
        <v>45811</v>
      </c>
      <c r="I175" s="32">
        <v>152</v>
      </c>
      <c r="J175" s="32">
        <v>0.72037914691943128</v>
      </c>
      <c r="K175" s="32" t="s">
        <v>189</v>
      </c>
      <c r="L175" s="32"/>
      <c r="M175" s="32"/>
      <c r="N175" s="32"/>
      <c r="O175" s="32"/>
      <c r="P175" s="32">
        <v>22</v>
      </c>
    </row>
    <row r="176" spans="1:16" x14ac:dyDescent="0.25">
      <c r="A176" s="31" t="s">
        <v>178</v>
      </c>
      <c r="B176" s="31" t="s">
        <v>139</v>
      </c>
      <c r="C176" s="31" t="s">
        <v>175</v>
      </c>
      <c r="D176" s="31" t="s">
        <v>155</v>
      </c>
      <c r="E176" s="31">
        <v>45660</v>
      </c>
      <c r="F176" s="31">
        <v>45871</v>
      </c>
      <c r="G176" s="31">
        <v>211</v>
      </c>
      <c r="H176" s="31">
        <v>45811</v>
      </c>
      <c r="I176" s="31">
        <v>151</v>
      </c>
      <c r="J176" s="31">
        <v>0.71563981042654023</v>
      </c>
      <c r="K176" s="31" t="s">
        <v>190</v>
      </c>
      <c r="L176" s="31"/>
      <c r="M176" s="31"/>
      <c r="N176" s="31"/>
      <c r="O176" s="31"/>
      <c r="P176" s="31">
        <v>22</v>
      </c>
    </row>
    <row r="177" spans="1:16" x14ac:dyDescent="0.25">
      <c r="A177" s="32" t="s">
        <v>179</v>
      </c>
      <c r="B177" s="32" t="s">
        <v>140</v>
      </c>
      <c r="C177" s="32" t="s">
        <v>150</v>
      </c>
      <c r="D177" s="32" t="s">
        <v>155</v>
      </c>
      <c r="E177" s="32">
        <v>45661</v>
      </c>
      <c r="F177" s="32">
        <v>45872</v>
      </c>
      <c r="G177" s="32">
        <v>211</v>
      </c>
      <c r="H177" s="32">
        <v>45811</v>
      </c>
      <c r="I177" s="32">
        <v>150</v>
      </c>
      <c r="J177" s="32">
        <v>0.7109004739336493</v>
      </c>
      <c r="K177" s="32" t="s">
        <v>191</v>
      </c>
      <c r="L177" s="32"/>
      <c r="M177" s="32"/>
      <c r="N177" s="32"/>
      <c r="O177" s="32"/>
      <c r="P177" s="32">
        <v>22</v>
      </c>
    </row>
    <row r="178" spans="1:16" x14ac:dyDescent="0.25">
      <c r="A178" s="31" t="s">
        <v>180</v>
      </c>
      <c r="B178" s="31" t="s">
        <v>141</v>
      </c>
      <c r="C178" s="31" t="s">
        <v>151</v>
      </c>
      <c r="D178" s="31" t="s">
        <v>156</v>
      </c>
      <c r="E178" s="31">
        <v>45662</v>
      </c>
      <c r="F178" s="31">
        <v>45873</v>
      </c>
      <c r="G178" s="31">
        <v>211</v>
      </c>
      <c r="H178" s="31">
        <v>45811</v>
      </c>
      <c r="I178" s="31">
        <v>149</v>
      </c>
      <c r="J178" s="31">
        <v>0.70616113744075826</v>
      </c>
      <c r="K178" s="31" t="s">
        <v>192</v>
      </c>
      <c r="L178" s="31"/>
      <c r="M178" s="31"/>
      <c r="N178" s="31"/>
      <c r="O178" s="31"/>
      <c r="P178" s="31">
        <v>22</v>
      </c>
    </row>
    <row r="179" spans="1:16" x14ac:dyDescent="0.25">
      <c r="A179" s="32" t="s">
        <v>181</v>
      </c>
      <c r="B179" s="32" t="s">
        <v>142</v>
      </c>
      <c r="C179" s="32" t="s">
        <v>152</v>
      </c>
      <c r="D179" s="32" t="s">
        <v>157</v>
      </c>
      <c r="E179" s="32">
        <v>45663</v>
      </c>
      <c r="F179" s="32">
        <v>45874</v>
      </c>
      <c r="G179" s="32">
        <v>211</v>
      </c>
      <c r="H179" s="32">
        <v>45811</v>
      </c>
      <c r="I179" s="32">
        <v>148</v>
      </c>
      <c r="J179" s="32">
        <v>0.70142180094786732</v>
      </c>
      <c r="K179" s="32" t="s">
        <v>193</v>
      </c>
      <c r="L179" s="32"/>
      <c r="M179" s="32"/>
      <c r="N179" s="32"/>
      <c r="O179" s="32"/>
      <c r="P179" s="32">
        <v>22</v>
      </c>
    </row>
    <row r="180" spans="1:16" x14ac:dyDescent="0.25">
      <c r="A180" s="31" t="s">
        <v>182</v>
      </c>
      <c r="B180" s="31" t="s">
        <v>159</v>
      </c>
      <c r="C180" s="31" t="s">
        <v>161</v>
      </c>
      <c r="D180" s="31" t="s">
        <v>163</v>
      </c>
      <c r="E180" s="31">
        <v>45664</v>
      </c>
      <c r="F180" s="31">
        <v>45875</v>
      </c>
      <c r="G180" s="31">
        <v>211</v>
      </c>
      <c r="H180" s="31">
        <v>45811</v>
      </c>
      <c r="I180" s="31">
        <v>147</v>
      </c>
      <c r="J180" s="31">
        <v>0.69668246445497628</v>
      </c>
      <c r="K180" s="31" t="s">
        <v>194</v>
      </c>
      <c r="L180" s="31"/>
      <c r="M180" s="31"/>
      <c r="N180" s="31"/>
      <c r="O180" s="31"/>
      <c r="P180" s="31">
        <v>22</v>
      </c>
    </row>
    <row r="181" spans="1:16" x14ac:dyDescent="0.25">
      <c r="A181" s="32" t="s">
        <v>183</v>
      </c>
      <c r="B181" s="32" t="s">
        <v>160</v>
      </c>
      <c r="C181" s="32" t="s">
        <v>161</v>
      </c>
      <c r="D181" s="32" t="s">
        <v>163</v>
      </c>
      <c r="E181" s="32">
        <v>45665</v>
      </c>
      <c r="F181" s="32">
        <v>45876</v>
      </c>
      <c r="G181" s="32">
        <v>211</v>
      </c>
      <c r="H181" s="32">
        <v>45811</v>
      </c>
      <c r="I181" s="32">
        <v>146</v>
      </c>
      <c r="J181" s="32">
        <v>0.69194312796208535</v>
      </c>
      <c r="K181" s="32" t="s">
        <v>195</v>
      </c>
      <c r="L181" s="32"/>
      <c r="M181" s="32"/>
      <c r="N181" s="32"/>
      <c r="O181" s="32"/>
      <c r="P181" s="32">
        <v>22</v>
      </c>
    </row>
    <row r="182" spans="1:16" x14ac:dyDescent="0.25">
      <c r="A182" s="31" t="s">
        <v>176</v>
      </c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 t="s">
        <v>0</v>
      </c>
      <c r="M182" s="31"/>
      <c r="N182" s="31"/>
      <c r="O182" s="31"/>
      <c r="P182" s="31">
        <v>22</v>
      </c>
    </row>
    <row r="183" spans="1:16" x14ac:dyDescent="0.25">
      <c r="A183" s="32" t="s">
        <v>177</v>
      </c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 t="s">
        <v>1</v>
      </c>
      <c r="M183" s="32" t="s">
        <v>2</v>
      </c>
      <c r="N183" s="32"/>
      <c r="O183" s="32"/>
      <c r="P183" s="32">
        <v>22</v>
      </c>
    </row>
    <row r="184" spans="1:16" x14ac:dyDescent="0.25">
      <c r="A184" s="31" t="s">
        <v>178</v>
      </c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 t="s">
        <v>3</v>
      </c>
      <c r="M184" s="31" t="s">
        <v>4</v>
      </c>
      <c r="N184" s="31"/>
      <c r="O184" s="31"/>
      <c r="P184" s="31">
        <v>22</v>
      </c>
    </row>
    <row r="185" spans="1:16" x14ac:dyDescent="0.25">
      <c r="A185" s="32" t="s">
        <v>179</v>
      </c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 t="s">
        <v>3</v>
      </c>
      <c r="M185" s="32" t="s">
        <v>4</v>
      </c>
      <c r="N185" s="32"/>
      <c r="O185" s="32"/>
      <c r="P185" s="32">
        <v>22</v>
      </c>
    </row>
    <row r="186" spans="1:16" x14ac:dyDescent="0.25">
      <c r="A186" s="31" t="s">
        <v>180</v>
      </c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 t="s">
        <v>5</v>
      </c>
      <c r="M186" s="31" t="s">
        <v>2</v>
      </c>
      <c r="N186" s="31"/>
      <c r="O186" s="31"/>
      <c r="P186" s="31">
        <v>22</v>
      </c>
    </row>
    <row r="187" spans="1:16" x14ac:dyDescent="0.25">
      <c r="A187" s="32" t="s">
        <v>181</v>
      </c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 t="s">
        <v>6</v>
      </c>
      <c r="M187" s="32"/>
      <c r="N187" s="32"/>
      <c r="O187" s="32"/>
      <c r="P187" s="32">
        <v>22</v>
      </c>
    </row>
    <row r="188" spans="1:16" x14ac:dyDescent="0.25">
      <c r="A188" s="31" t="s">
        <v>182</v>
      </c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 t="s">
        <v>7</v>
      </c>
      <c r="M188" s="31" t="s">
        <v>2</v>
      </c>
      <c r="N188" s="31"/>
      <c r="O188" s="31"/>
      <c r="P188" s="31">
        <v>22</v>
      </c>
    </row>
    <row r="189" spans="1:16" x14ac:dyDescent="0.25">
      <c r="A189" s="32" t="s">
        <v>183</v>
      </c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 t="s">
        <v>8</v>
      </c>
      <c r="M189" s="32"/>
      <c r="N189" s="32"/>
      <c r="O189" s="32"/>
      <c r="P189" s="32">
        <v>22</v>
      </c>
    </row>
    <row r="190" spans="1:16" x14ac:dyDescent="0.25">
      <c r="A190" s="31" t="s">
        <v>176</v>
      </c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 t="s">
        <v>9</v>
      </c>
      <c r="M190" s="31" t="s">
        <v>10</v>
      </c>
      <c r="N190" s="31"/>
      <c r="O190" s="31"/>
      <c r="P190" s="31">
        <v>22</v>
      </c>
    </row>
    <row r="191" spans="1:16" x14ac:dyDescent="0.25">
      <c r="A191" s="32" t="s">
        <v>177</v>
      </c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 t="s">
        <v>11</v>
      </c>
      <c r="M191" s="32" t="s">
        <v>2</v>
      </c>
      <c r="N191" s="32"/>
      <c r="O191" s="32"/>
      <c r="P191" s="32">
        <v>22</v>
      </c>
    </row>
    <row r="192" spans="1:16" x14ac:dyDescent="0.25">
      <c r="A192" s="31" t="s">
        <v>178</v>
      </c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 t="s">
        <v>12</v>
      </c>
      <c r="M192" s="31" t="s">
        <v>13</v>
      </c>
      <c r="N192" s="31"/>
      <c r="O192" s="31"/>
      <c r="P192" s="31">
        <v>22</v>
      </c>
    </row>
    <row r="193" spans="1:16" x14ac:dyDescent="0.25">
      <c r="A193" s="32" t="s">
        <v>179</v>
      </c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 t="s">
        <v>14</v>
      </c>
      <c r="M193" s="32"/>
      <c r="N193" s="32"/>
      <c r="O193" s="32"/>
      <c r="P193" s="32">
        <v>22</v>
      </c>
    </row>
    <row r="194" spans="1:16" x14ac:dyDescent="0.25">
      <c r="A194" s="31" t="s">
        <v>180</v>
      </c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 t="s">
        <v>15</v>
      </c>
      <c r="M194" s="31" t="s">
        <v>16</v>
      </c>
      <c r="N194" s="31"/>
      <c r="O194" s="31"/>
      <c r="P194" s="31">
        <v>22</v>
      </c>
    </row>
    <row r="195" spans="1:16" x14ac:dyDescent="0.25">
      <c r="A195" s="32" t="s">
        <v>181</v>
      </c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 t="s">
        <v>17</v>
      </c>
      <c r="M195" s="32" t="s">
        <v>13</v>
      </c>
      <c r="N195" s="32"/>
      <c r="O195" s="32"/>
      <c r="P195" s="32">
        <v>22</v>
      </c>
    </row>
    <row r="196" spans="1:16" x14ac:dyDescent="0.25">
      <c r="A196" s="31" t="s">
        <v>182</v>
      </c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 t="s">
        <v>18</v>
      </c>
      <c r="M196" s="31"/>
      <c r="N196" s="31"/>
      <c r="O196" s="31"/>
      <c r="P196" s="31">
        <v>22</v>
      </c>
    </row>
    <row r="197" spans="1:16" x14ac:dyDescent="0.25">
      <c r="A197" s="32" t="s">
        <v>183</v>
      </c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 t="s">
        <v>19</v>
      </c>
      <c r="M197" s="32" t="s">
        <v>20</v>
      </c>
      <c r="N197" s="32"/>
      <c r="O197" s="32"/>
      <c r="P197" s="32">
        <v>22</v>
      </c>
    </row>
    <row r="198" spans="1:16" x14ac:dyDescent="0.25">
      <c r="A198" s="31" t="s">
        <v>176</v>
      </c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 t="s">
        <v>21</v>
      </c>
      <c r="M198" s="31"/>
      <c r="N198" s="31"/>
      <c r="O198" s="31"/>
      <c r="P198" s="31">
        <v>22</v>
      </c>
    </row>
    <row r="199" spans="1:16" x14ac:dyDescent="0.25">
      <c r="A199" s="32" t="s">
        <v>177</v>
      </c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 t="s">
        <v>22</v>
      </c>
      <c r="M199" s="32" t="s">
        <v>23</v>
      </c>
      <c r="N199" s="32"/>
      <c r="O199" s="32"/>
      <c r="P199" s="32">
        <v>22</v>
      </c>
    </row>
    <row r="200" spans="1:16" x14ac:dyDescent="0.25">
      <c r="A200" s="31" t="s">
        <v>178</v>
      </c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 t="s">
        <v>24</v>
      </c>
      <c r="M200" s="31" t="s">
        <v>25</v>
      </c>
      <c r="N200" s="31"/>
      <c r="O200" s="31"/>
      <c r="P200" s="31">
        <v>22</v>
      </c>
    </row>
    <row r="201" spans="1:16" x14ac:dyDescent="0.25">
      <c r="A201" s="32" t="s">
        <v>179</v>
      </c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 t="s">
        <v>26</v>
      </c>
      <c r="M201" s="32" t="s">
        <v>27</v>
      </c>
      <c r="N201" s="32"/>
      <c r="O201" s="32"/>
      <c r="P201" s="32">
        <v>22</v>
      </c>
    </row>
    <row r="202" spans="1:16" x14ac:dyDescent="0.25">
      <c r="A202" s="31" t="s">
        <v>180</v>
      </c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 t="s">
        <v>28</v>
      </c>
      <c r="M202" s="31" t="s">
        <v>29</v>
      </c>
      <c r="N202" s="31"/>
      <c r="O202" s="31"/>
      <c r="P202" s="31">
        <v>22</v>
      </c>
    </row>
    <row r="203" spans="1:16" x14ac:dyDescent="0.25">
      <c r="A203" s="32" t="s">
        <v>181</v>
      </c>
      <c r="B203" s="32"/>
      <c r="C203" s="32"/>
      <c r="D203" s="32"/>
      <c r="E203" s="32"/>
      <c r="F203" s="32"/>
      <c r="G203" s="32"/>
      <c r="H203" s="32"/>
      <c r="I203" s="32"/>
      <c r="J203" s="32"/>
      <c r="K203" s="32"/>
      <c r="L203" s="32" t="s">
        <v>30</v>
      </c>
      <c r="M203" s="32" t="s">
        <v>31</v>
      </c>
      <c r="N203" s="32"/>
      <c r="O203" s="32"/>
      <c r="P203" s="32">
        <v>22</v>
      </c>
    </row>
    <row r="204" spans="1:16" x14ac:dyDescent="0.25">
      <c r="A204" s="31" t="s">
        <v>182</v>
      </c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 t="s">
        <v>32</v>
      </c>
      <c r="M204" s="31" t="s">
        <v>2</v>
      </c>
      <c r="N204" s="31"/>
      <c r="O204" s="31"/>
      <c r="P204" s="31">
        <v>22</v>
      </c>
    </row>
    <row r="205" spans="1:16" x14ac:dyDescent="0.25">
      <c r="A205" s="32" t="s">
        <v>183</v>
      </c>
      <c r="B205" s="32"/>
      <c r="C205" s="32"/>
      <c r="D205" s="32"/>
      <c r="E205" s="32"/>
      <c r="F205" s="32"/>
      <c r="G205" s="32"/>
      <c r="H205" s="32"/>
      <c r="I205" s="32"/>
      <c r="J205" s="32"/>
      <c r="K205" s="32"/>
      <c r="L205" s="32" t="s">
        <v>33</v>
      </c>
      <c r="M205" s="32" t="s">
        <v>34</v>
      </c>
      <c r="N205" s="32"/>
      <c r="O205" s="32"/>
      <c r="P205" s="32">
        <v>22</v>
      </c>
    </row>
    <row r="206" spans="1:16" x14ac:dyDescent="0.25">
      <c r="A206" s="31" t="s">
        <v>176</v>
      </c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 t="s">
        <v>35</v>
      </c>
      <c r="M206" s="31" t="s">
        <v>36</v>
      </c>
      <c r="N206" s="31"/>
      <c r="O206" s="31"/>
      <c r="P206" s="31">
        <v>22</v>
      </c>
    </row>
    <row r="207" spans="1:16" x14ac:dyDescent="0.25">
      <c r="A207" s="32" t="s">
        <v>177</v>
      </c>
      <c r="B207" s="32"/>
      <c r="C207" s="32"/>
      <c r="D207" s="32"/>
      <c r="E207" s="32"/>
      <c r="F207" s="32"/>
      <c r="G207" s="32"/>
      <c r="H207" s="32"/>
      <c r="I207" s="32"/>
      <c r="J207" s="32"/>
      <c r="K207" s="32"/>
      <c r="L207" s="32" t="s">
        <v>37</v>
      </c>
      <c r="M207" s="32"/>
      <c r="N207" s="32"/>
      <c r="O207" s="32"/>
      <c r="P207" s="32">
        <v>22</v>
      </c>
    </row>
    <row r="208" spans="1:16" x14ac:dyDescent="0.25">
      <c r="A208" s="31" t="s">
        <v>178</v>
      </c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 t="s">
        <v>38</v>
      </c>
      <c r="M208" s="31" t="s">
        <v>39</v>
      </c>
      <c r="N208" s="31"/>
      <c r="O208" s="31"/>
      <c r="P208" s="31">
        <v>22</v>
      </c>
    </row>
    <row r="209" spans="1:16" x14ac:dyDescent="0.25">
      <c r="A209" s="32" t="s">
        <v>179</v>
      </c>
      <c r="B209" s="32"/>
      <c r="C209" s="32"/>
      <c r="D209" s="32"/>
      <c r="E209" s="32"/>
      <c r="F209" s="32"/>
      <c r="G209" s="32"/>
      <c r="H209" s="32"/>
      <c r="I209" s="32"/>
      <c r="J209" s="32"/>
      <c r="K209" s="32"/>
      <c r="L209" s="32" t="s">
        <v>40</v>
      </c>
      <c r="M209" s="32" t="s">
        <v>41</v>
      </c>
      <c r="N209" s="32"/>
      <c r="O209" s="32"/>
      <c r="P209" s="32">
        <v>22</v>
      </c>
    </row>
    <row r="210" spans="1:16" x14ac:dyDescent="0.25">
      <c r="A210" s="31" t="s">
        <v>180</v>
      </c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 t="s">
        <v>42</v>
      </c>
      <c r="M210" s="31"/>
      <c r="N210" s="31"/>
      <c r="O210" s="31"/>
      <c r="P210" s="31">
        <v>22</v>
      </c>
    </row>
    <row r="211" spans="1:16" x14ac:dyDescent="0.25">
      <c r="A211" s="32" t="s">
        <v>181</v>
      </c>
      <c r="B211" s="32"/>
      <c r="C211" s="32"/>
      <c r="D211" s="32"/>
      <c r="E211" s="32"/>
      <c r="F211" s="32"/>
      <c r="G211" s="32"/>
      <c r="H211" s="32"/>
      <c r="I211" s="32"/>
      <c r="J211" s="32"/>
      <c r="K211" s="32"/>
      <c r="L211" s="32" t="s">
        <v>43</v>
      </c>
      <c r="M211" s="32" t="s">
        <v>44</v>
      </c>
      <c r="N211" s="32"/>
      <c r="O211" s="32"/>
      <c r="P211" s="32">
        <v>22</v>
      </c>
    </row>
    <row r="212" spans="1:16" x14ac:dyDescent="0.25">
      <c r="A212" s="31" t="s">
        <v>182</v>
      </c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 t="s">
        <v>45</v>
      </c>
      <c r="M212" s="31" t="s">
        <v>46</v>
      </c>
      <c r="N212" s="31"/>
      <c r="O212" s="31"/>
      <c r="P212" s="31">
        <v>22</v>
      </c>
    </row>
    <row r="213" spans="1:16" x14ac:dyDescent="0.25">
      <c r="A213" s="32" t="s">
        <v>183</v>
      </c>
      <c r="B213" s="32"/>
      <c r="C213" s="32"/>
      <c r="D213" s="32"/>
      <c r="E213" s="32"/>
      <c r="F213" s="32"/>
      <c r="G213" s="32"/>
      <c r="H213" s="32"/>
      <c r="I213" s="32"/>
      <c r="J213" s="32"/>
      <c r="K213" s="32"/>
      <c r="L213" s="32" t="s">
        <v>47</v>
      </c>
      <c r="M213" s="32" t="s">
        <v>48</v>
      </c>
      <c r="N213" s="32"/>
      <c r="O213" s="32"/>
      <c r="P213" s="32">
        <v>22</v>
      </c>
    </row>
    <row r="214" spans="1:16" x14ac:dyDescent="0.25">
      <c r="A214" s="31" t="s">
        <v>183</v>
      </c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 t="s">
        <v>49</v>
      </c>
      <c r="M214" s="31" t="s">
        <v>50</v>
      </c>
      <c r="N214" s="31"/>
      <c r="O214" s="31"/>
      <c r="P214" s="31">
        <v>22</v>
      </c>
    </row>
    <row r="215" spans="1:16" x14ac:dyDescent="0.25">
      <c r="A215" s="32" t="s">
        <v>176</v>
      </c>
      <c r="B215" s="32"/>
      <c r="C215" s="32"/>
      <c r="D215" s="32"/>
      <c r="E215" s="32"/>
      <c r="F215" s="32"/>
      <c r="G215" s="32"/>
      <c r="H215" s="32"/>
      <c r="I215" s="32"/>
      <c r="J215" s="32"/>
      <c r="K215" s="32"/>
      <c r="L215" s="32" t="s">
        <v>51</v>
      </c>
      <c r="M215" s="32" t="s">
        <v>52</v>
      </c>
      <c r="N215" s="32"/>
      <c r="O215" s="32"/>
      <c r="P215" s="32">
        <v>22</v>
      </c>
    </row>
    <row r="216" spans="1:16" x14ac:dyDescent="0.25">
      <c r="A216" s="31" t="s">
        <v>177</v>
      </c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 t="s">
        <v>53</v>
      </c>
      <c r="M216" s="31" t="s">
        <v>13</v>
      </c>
      <c r="N216" s="31"/>
      <c r="O216" s="31"/>
      <c r="P216" s="31">
        <v>22</v>
      </c>
    </row>
    <row r="217" spans="1:16" x14ac:dyDescent="0.25">
      <c r="A217" s="32" t="s">
        <v>178</v>
      </c>
      <c r="B217" s="32"/>
      <c r="C217" s="32"/>
      <c r="D217" s="32"/>
      <c r="E217" s="32"/>
      <c r="F217" s="32"/>
      <c r="G217" s="32"/>
      <c r="H217" s="32"/>
      <c r="I217" s="32"/>
      <c r="J217" s="32"/>
      <c r="K217" s="32"/>
      <c r="L217" s="32" t="s">
        <v>54</v>
      </c>
      <c r="M217" s="32" t="s">
        <v>2</v>
      </c>
      <c r="N217" s="32"/>
      <c r="O217" s="32"/>
      <c r="P217" s="32">
        <v>22</v>
      </c>
    </row>
    <row r="218" spans="1:16" x14ac:dyDescent="0.25">
      <c r="A218" s="31" t="s">
        <v>179</v>
      </c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 t="s">
        <v>55</v>
      </c>
      <c r="M218" s="31" t="s">
        <v>56</v>
      </c>
      <c r="N218" s="31"/>
      <c r="O218" s="31"/>
      <c r="P218" s="31">
        <v>22</v>
      </c>
    </row>
    <row r="219" spans="1:16" x14ac:dyDescent="0.25">
      <c r="A219" s="32" t="s">
        <v>180</v>
      </c>
      <c r="B219" s="32"/>
      <c r="C219" s="32"/>
      <c r="D219" s="32"/>
      <c r="E219" s="32"/>
      <c r="F219" s="32"/>
      <c r="G219" s="32"/>
      <c r="H219" s="32"/>
      <c r="I219" s="32"/>
      <c r="J219" s="32"/>
      <c r="K219" s="32"/>
      <c r="L219" s="32" t="s">
        <v>57</v>
      </c>
      <c r="M219" s="32" t="s">
        <v>58</v>
      </c>
      <c r="N219" s="32"/>
      <c r="O219" s="32"/>
      <c r="P219" s="32">
        <v>22</v>
      </c>
    </row>
    <row r="220" spans="1:16" x14ac:dyDescent="0.25">
      <c r="A220" s="31" t="s">
        <v>181</v>
      </c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 t="s">
        <v>59</v>
      </c>
      <c r="M220" s="31" t="s">
        <v>60</v>
      </c>
      <c r="N220" s="31"/>
      <c r="O220" s="31"/>
      <c r="P220" s="31">
        <v>22</v>
      </c>
    </row>
    <row r="221" spans="1:16" x14ac:dyDescent="0.25">
      <c r="A221" s="32" t="s">
        <v>182</v>
      </c>
      <c r="B221" s="32"/>
      <c r="C221" s="32"/>
      <c r="D221" s="32"/>
      <c r="E221" s="32"/>
      <c r="F221" s="32"/>
      <c r="G221" s="32"/>
      <c r="H221" s="32"/>
      <c r="I221" s="32"/>
      <c r="J221" s="32"/>
      <c r="K221" s="32"/>
      <c r="L221" s="32" t="s">
        <v>61</v>
      </c>
      <c r="M221" s="32" t="s">
        <v>27</v>
      </c>
      <c r="N221" s="32"/>
      <c r="O221" s="32"/>
      <c r="P221" s="32">
        <v>22</v>
      </c>
    </row>
    <row r="222" spans="1:16" x14ac:dyDescent="0.25">
      <c r="A222" s="31" t="s">
        <v>183</v>
      </c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 t="s">
        <v>62</v>
      </c>
      <c r="M222" s="31" t="s">
        <v>27</v>
      </c>
      <c r="N222" s="31"/>
      <c r="O222" s="31"/>
      <c r="P222" s="31">
        <v>22</v>
      </c>
    </row>
    <row r="223" spans="1:16" x14ac:dyDescent="0.25">
      <c r="A223" s="32" t="s">
        <v>176</v>
      </c>
      <c r="B223" s="32"/>
      <c r="C223" s="32"/>
      <c r="D223" s="32"/>
      <c r="E223" s="32"/>
      <c r="F223" s="32"/>
      <c r="G223" s="32"/>
      <c r="H223" s="32"/>
      <c r="I223" s="32"/>
      <c r="J223" s="32"/>
      <c r="K223" s="32"/>
      <c r="L223" s="32" t="s">
        <v>63</v>
      </c>
      <c r="M223" s="32"/>
      <c r="N223" s="32"/>
      <c r="O223" s="32"/>
      <c r="P223" s="32">
        <v>22</v>
      </c>
    </row>
    <row r="224" spans="1:16" x14ac:dyDescent="0.25">
      <c r="A224" s="31" t="s">
        <v>177</v>
      </c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 t="s">
        <v>64</v>
      </c>
      <c r="M224" s="31" t="s">
        <v>65</v>
      </c>
      <c r="N224" s="31"/>
      <c r="O224" s="31"/>
      <c r="P224" s="31">
        <v>22</v>
      </c>
    </row>
    <row r="225" spans="1:16" x14ac:dyDescent="0.25">
      <c r="A225" s="32" t="s">
        <v>178</v>
      </c>
      <c r="B225" s="32"/>
      <c r="C225" s="32"/>
      <c r="D225" s="32"/>
      <c r="E225" s="32"/>
      <c r="F225" s="32"/>
      <c r="G225" s="32"/>
      <c r="H225" s="32"/>
      <c r="I225" s="32"/>
      <c r="J225" s="32"/>
      <c r="K225" s="32"/>
      <c r="L225" s="32" t="s">
        <v>66</v>
      </c>
      <c r="M225" s="32" t="s">
        <v>2</v>
      </c>
      <c r="N225" s="32"/>
      <c r="O225" s="32"/>
      <c r="P225" s="32">
        <v>22</v>
      </c>
    </row>
    <row r="226" spans="1:16" x14ac:dyDescent="0.25">
      <c r="A226" s="31" t="s">
        <v>179</v>
      </c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 t="s">
        <v>67</v>
      </c>
      <c r="M226" s="31" t="s">
        <v>68</v>
      </c>
      <c r="N226" s="31"/>
      <c r="O226" s="31"/>
      <c r="P226" s="31">
        <v>22</v>
      </c>
    </row>
    <row r="227" spans="1:16" x14ac:dyDescent="0.25">
      <c r="A227" s="32" t="s">
        <v>180</v>
      </c>
      <c r="B227" s="32"/>
      <c r="C227" s="32"/>
      <c r="D227" s="32"/>
      <c r="E227" s="32"/>
      <c r="F227" s="32"/>
      <c r="G227" s="32"/>
      <c r="H227" s="32"/>
      <c r="I227" s="32"/>
      <c r="J227" s="32"/>
      <c r="K227" s="32"/>
      <c r="L227" s="32" t="s">
        <v>69</v>
      </c>
      <c r="M227" s="32" t="s">
        <v>65</v>
      </c>
      <c r="N227" s="32"/>
      <c r="O227" s="32"/>
      <c r="P227" s="32">
        <v>22</v>
      </c>
    </row>
    <row r="228" spans="1:16" x14ac:dyDescent="0.25">
      <c r="A228" s="31" t="s">
        <v>181</v>
      </c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 t="s">
        <v>70</v>
      </c>
      <c r="M228" s="31" t="s">
        <v>65</v>
      </c>
      <c r="N228" s="31"/>
      <c r="O228" s="31"/>
      <c r="P228" s="31">
        <v>22</v>
      </c>
    </row>
    <row r="229" spans="1:16" x14ac:dyDescent="0.25">
      <c r="A229" s="32" t="s">
        <v>182</v>
      </c>
      <c r="B229" s="32"/>
      <c r="C229" s="32"/>
      <c r="D229" s="32"/>
      <c r="E229" s="32"/>
      <c r="F229" s="32"/>
      <c r="G229" s="32"/>
      <c r="H229" s="32"/>
      <c r="I229" s="32"/>
      <c r="J229" s="32"/>
      <c r="K229" s="32"/>
      <c r="L229" s="32" t="s">
        <v>71</v>
      </c>
      <c r="M229" s="32"/>
      <c r="N229" s="32"/>
      <c r="O229" s="32"/>
      <c r="P229" s="32">
        <v>22</v>
      </c>
    </row>
    <row r="230" spans="1:16" x14ac:dyDescent="0.25">
      <c r="A230" s="31" t="s">
        <v>183</v>
      </c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 t="s">
        <v>72</v>
      </c>
      <c r="O230" s="31" t="s">
        <v>73</v>
      </c>
      <c r="P230" s="31">
        <v>22</v>
      </c>
    </row>
    <row r="231" spans="1:16" x14ac:dyDescent="0.25">
      <c r="A231" s="32" t="s">
        <v>176</v>
      </c>
      <c r="B231" s="32"/>
      <c r="C231" s="32"/>
      <c r="D231" s="32"/>
      <c r="E231" s="32"/>
      <c r="F231" s="32"/>
      <c r="G231" s="32"/>
      <c r="H231" s="32"/>
      <c r="I231" s="32"/>
      <c r="J231" s="32"/>
      <c r="K231" s="32"/>
      <c r="L231" s="32"/>
      <c r="M231" s="32"/>
      <c r="N231" s="32" t="s">
        <v>74</v>
      </c>
      <c r="O231" s="32" t="s">
        <v>75</v>
      </c>
      <c r="P231" s="32">
        <v>22</v>
      </c>
    </row>
    <row r="232" spans="1:16" x14ac:dyDescent="0.25">
      <c r="A232" s="31" t="s">
        <v>177</v>
      </c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 t="s">
        <v>76</v>
      </c>
      <c r="O232" s="31" t="s">
        <v>77</v>
      </c>
      <c r="P232" s="31">
        <v>22</v>
      </c>
    </row>
    <row r="233" spans="1:16" x14ac:dyDescent="0.25">
      <c r="A233" s="32" t="s">
        <v>178</v>
      </c>
      <c r="B233" s="32"/>
      <c r="C233" s="32"/>
      <c r="D233" s="32"/>
      <c r="E233" s="32"/>
      <c r="F233" s="32"/>
      <c r="G233" s="32"/>
      <c r="H233" s="32"/>
      <c r="I233" s="32"/>
      <c r="J233" s="32"/>
      <c r="K233" s="32"/>
      <c r="L233" s="32"/>
      <c r="M233" s="32"/>
      <c r="N233" s="32" t="s">
        <v>78</v>
      </c>
      <c r="O233" s="32" t="s">
        <v>79</v>
      </c>
      <c r="P233" s="32">
        <v>22</v>
      </c>
    </row>
    <row r="234" spans="1:16" x14ac:dyDescent="0.25">
      <c r="A234" s="31" t="s">
        <v>179</v>
      </c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 t="s">
        <v>80</v>
      </c>
      <c r="O234" s="31" t="s">
        <v>81</v>
      </c>
      <c r="P234" s="31">
        <v>22</v>
      </c>
    </row>
    <row r="235" spans="1:16" x14ac:dyDescent="0.25">
      <c r="A235" s="32" t="s">
        <v>180</v>
      </c>
      <c r="B235" s="32"/>
      <c r="C235" s="32"/>
      <c r="D235" s="32"/>
      <c r="E235" s="32"/>
      <c r="F235" s="32"/>
      <c r="G235" s="32"/>
      <c r="H235" s="32"/>
      <c r="I235" s="32"/>
      <c r="J235" s="32"/>
      <c r="K235" s="32"/>
      <c r="L235" s="32"/>
      <c r="M235" s="32"/>
      <c r="N235" s="32" t="s">
        <v>82</v>
      </c>
      <c r="O235" s="32" t="s">
        <v>83</v>
      </c>
      <c r="P235" s="32">
        <v>22</v>
      </c>
    </row>
    <row r="236" spans="1:16" x14ac:dyDescent="0.25">
      <c r="A236" s="31" t="s">
        <v>181</v>
      </c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 t="s">
        <v>84</v>
      </c>
      <c r="O236" s="31" t="s">
        <v>77</v>
      </c>
      <c r="P236" s="31">
        <v>22</v>
      </c>
    </row>
    <row r="237" spans="1:16" x14ac:dyDescent="0.25">
      <c r="A237" s="32" t="s">
        <v>182</v>
      </c>
      <c r="B237" s="32"/>
      <c r="C237" s="32"/>
      <c r="D237" s="32"/>
      <c r="E237" s="32"/>
      <c r="F237" s="32"/>
      <c r="G237" s="32"/>
      <c r="H237" s="32"/>
      <c r="I237" s="32"/>
      <c r="J237" s="32"/>
      <c r="K237" s="32"/>
      <c r="L237" s="32"/>
      <c r="M237" s="32"/>
      <c r="N237" s="32" t="s">
        <v>85</v>
      </c>
      <c r="O237" s="32" t="s">
        <v>86</v>
      </c>
      <c r="P237" s="32">
        <v>22</v>
      </c>
    </row>
    <row r="238" spans="1:16" x14ac:dyDescent="0.25">
      <c r="A238" s="31" t="s">
        <v>183</v>
      </c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 t="s">
        <v>87</v>
      </c>
      <c r="O238" s="31" t="s">
        <v>88</v>
      </c>
      <c r="P238" s="31">
        <v>22</v>
      </c>
    </row>
    <row r="239" spans="1:16" x14ac:dyDescent="0.25">
      <c r="A239" s="32" t="s">
        <v>176</v>
      </c>
      <c r="B239" s="32"/>
      <c r="C239" s="32"/>
      <c r="D239" s="32"/>
      <c r="E239" s="32"/>
      <c r="F239" s="32"/>
      <c r="G239" s="32"/>
      <c r="H239" s="32"/>
      <c r="I239" s="32"/>
      <c r="J239" s="32"/>
      <c r="K239" s="32"/>
      <c r="L239" s="32"/>
      <c r="M239" s="32"/>
      <c r="N239" s="32" t="s">
        <v>89</v>
      </c>
      <c r="O239" s="32" t="s">
        <v>90</v>
      </c>
      <c r="P239" s="32">
        <v>22</v>
      </c>
    </row>
    <row r="240" spans="1:16" x14ac:dyDescent="0.25">
      <c r="A240" s="31" t="s">
        <v>177</v>
      </c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 t="s">
        <v>91</v>
      </c>
      <c r="O240" s="31" t="s">
        <v>92</v>
      </c>
      <c r="P240" s="31">
        <v>22</v>
      </c>
    </row>
    <row r="241" spans="1:16" x14ac:dyDescent="0.25">
      <c r="A241" s="32" t="s">
        <v>178</v>
      </c>
      <c r="B241" s="32"/>
      <c r="C241" s="32"/>
      <c r="D241" s="32"/>
      <c r="E241" s="32"/>
      <c r="F241" s="32"/>
      <c r="G241" s="32"/>
      <c r="H241" s="32"/>
      <c r="I241" s="32"/>
      <c r="J241" s="32"/>
      <c r="K241" s="32"/>
      <c r="L241" s="32"/>
      <c r="M241" s="32"/>
      <c r="N241" s="32" t="s">
        <v>93</v>
      </c>
      <c r="O241" s="32" t="s">
        <v>94</v>
      </c>
      <c r="P241" s="32">
        <v>22</v>
      </c>
    </row>
    <row r="242" spans="1:16" x14ac:dyDescent="0.25">
      <c r="A242" s="31" t="s">
        <v>179</v>
      </c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 t="s">
        <v>95</v>
      </c>
      <c r="O242" s="31" t="s">
        <v>96</v>
      </c>
      <c r="P242" s="31">
        <v>22</v>
      </c>
    </row>
    <row r="243" spans="1:16" x14ac:dyDescent="0.25">
      <c r="A243" s="32" t="s">
        <v>180</v>
      </c>
      <c r="B243" s="32"/>
      <c r="C243" s="32"/>
      <c r="D243" s="32"/>
      <c r="E243" s="32"/>
      <c r="F243" s="32"/>
      <c r="G243" s="32"/>
      <c r="H243" s="32"/>
      <c r="I243" s="32"/>
      <c r="J243" s="32"/>
      <c r="K243" s="32"/>
      <c r="L243" s="32"/>
      <c r="M243" s="32"/>
      <c r="N243" s="32" t="s">
        <v>97</v>
      </c>
      <c r="O243" s="32" t="s">
        <v>98</v>
      </c>
      <c r="P243" s="32">
        <v>22</v>
      </c>
    </row>
    <row r="244" spans="1:16" x14ac:dyDescent="0.25">
      <c r="A244" s="31" t="s">
        <v>181</v>
      </c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 t="s">
        <v>99</v>
      </c>
      <c r="O244" s="31" t="s">
        <v>98</v>
      </c>
      <c r="P244" s="31">
        <v>22</v>
      </c>
    </row>
    <row r="245" spans="1:16" x14ac:dyDescent="0.25">
      <c r="A245" s="32" t="s">
        <v>182</v>
      </c>
      <c r="B245" s="32"/>
      <c r="C245" s="32"/>
      <c r="D245" s="32"/>
      <c r="E245" s="32"/>
      <c r="F245" s="32"/>
      <c r="G245" s="32"/>
      <c r="H245" s="32"/>
      <c r="I245" s="32"/>
      <c r="J245" s="32"/>
      <c r="K245" s="32"/>
      <c r="L245" s="32"/>
      <c r="M245" s="32"/>
      <c r="N245" s="32" t="s">
        <v>100</v>
      </c>
      <c r="O245" s="32" t="s">
        <v>101</v>
      </c>
      <c r="P245" s="32">
        <v>22</v>
      </c>
    </row>
    <row r="246" spans="1:16" x14ac:dyDescent="0.25">
      <c r="A246" s="31" t="s">
        <v>183</v>
      </c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 t="s">
        <v>102</v>
      </c>
      <c r="O246" s="31" t="s">
        <v>103</v>
      </c>
      <c r="P246" s="31">
        <v>22</v>
      </c>
    </row>
    <row r="247" spans="1:16" x14ac:dyDescent="0.25">
      <c r="A247" s="32" t="s">
        <v>176</v>
      </c>
      <c r="B247" s="32"/>
      <c r="C247" s="32"/>
      <c r="D247" s="32"/>
      <c r="E247" s="32"/>
      <c r="F247" s="32"/>
      <c r="G247" s="32"/>
      <c r="H247" s="32"/>
      <c r="I247" s="32"/>
      <c r="J247" s="32"/>
      <c r="K247" s="32"/>
      <c r="L247" s="32"/>
      <c r="M247" s="32"/>
      <c r="N247" s="32" t="s">
        <v>104</v>
      </c>
      <c r="O247" s="32" t="s">
        <v>103</v>
      </c>
      <c r="P247" s="32">
        <v>22</v>
      </c>
    </row>
    <row r="248" spans="1:16" x14ac:dyDescent="0.25">
      <c r="A248" s="31" t="s">
        <v>177</v>
      </c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 t="s">
        <v>105</v>
      </c>
      <c r="O248" s="31" t="s">
        <v>106</v>
      </c>
      <c r="P248" s="31">
        <v>22</v>
      </c>
    </row>
    <row r="249" spans="1:16" x14ac:dyDescent="0.25">
      <c r="A249" s="32" t="s">
        <v>178</v>
      </c>
      <c r="B249" s="32"/>
      <c r="C249" s="32"/>
      <c r="D249" s="32"/>
      <c r="E249" s="32"/>
      <c r="F249" s="32"/>
      <c r="G249" s="32"/>
      <c r="H249" s="32"/>
      <c r="I249" s="32"/>
      <c r="J249" s="32"/>
      <c r="K249" s="32"/>
      <c r="L249" s="32"/>
      <c r="M249" s="32"/>
      <c r="N249" s="32" t="s">
        <v>107</v>
      </c>
      <c r="O249" s="32" t="s">
        <v>79</v>
      </c>
      <c r="P249" s="32">
        <v>22</v>
      </c>
    </row>
    <row r="250" spans="1:16" x14ac:dyDescent="0.25">
      <c r="A250" s="31" t="s">
        <v>179</v>
      </c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 t="s">
        <v>108</v>
      </c>
      <c r="O250" s="31" t="s">
        <v>109</v>
      </c>
      <c r="P250" s="31">
        <v>22</v>
      </c>
    </row>
    <row r="251" spans="1:16" x14ac:dyDescent="0.25">
      <c r="A251" s="32" t="s">
        <v>176</v>
      </c>
      <c r="B251" s="32"/>
      <c r="C251" s="32"/>
      <c r="D251" s="32"/>
      <c r="E251" s="32"/>
      <c r="F251" s="32"/>
      <c r="G251" s="32"/>
      <c r="H251" s="32"/>
      <c r="I251" s="32"/>
      <c r="J251" s="32"/>
      <c r="K251" s="32"/>
      <c r="L251" s="32"/>
      <c r="M251" s="32"/>
      <c r="N251" s="32" t="s">
        <v>110</v>
      </c>
      <c r="O251" s="32" t="s">
        <v>111</v>
      </c>
      <c r="P251" s="32">
        <v>22</v>
      </c>
    </row>
    <row r="252" spans="1:16" x14ac:dyDescent="0.25">
      <c r="A252" s="31" t="s">
        <v>176</v>
      </c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 t="s">
        <v>112</v>
      </c>
      <c r="O252" s="31" t="s">
        <v>109</v>
      </c>
      <c r="P252" s="31">
        <v>22</v>
      </c>
    </row>
    <row r="253" spans="1:16" x14ac:dyDescent="0.25">
      <c r="A253" s="32" t="s">
        <v>177</v>
      </c>
      <c r="B253" s="32"/>
      <c r="C253" s="32"/>
      <c r="D253" s="32"/>
      <c r="E253" s="32"/>
      <c r="F253" s="32"/>
      <c r="G253" s="32"/>
      <c r="H253" s="32"/>
      <c r="I253" s="32"/>
      <c r="J253" s="32"/>
      <c r="K253" s="32"/>
      <c r="L253" s="32"/>
      <c r="M253" s="32"/>
      <c r="N253" s="32" t="s">
        <v>113</v>
      </c>
      <c r="O253" s="32" t="s">
        <v>109</v>
      </c>
      <c r="P253" s="32">
        <v>22</v>
      </c>
    </row>
    <row r="254" spans="1:16" x14ac:dyDescent="0.25">
      <c r="A254" s="31" t="s">
        <v>178</v>
      </c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 t="s">
        <v>114</v>
      </c>
      <c r="O254" s="31" t="s">
        <v>111</v>
      </c>
      <c r="P254" s="31">
        <v>22</v>
      </c>
    </row>
    <row r="255" spans="1:16" x14ac:dyDescent="0.25">
      <c r="A255" s="32" t="s">
        <v>179</v>
      </c>
      <c r="B255" s="32"/>
      <c r="C255" s="32"/>
      <c r="D255" s="32"/>
      <c r="E255" s="32"/>
      <c r="F255" s="32"/>
      <c r="G255" s="32"/>
      <c r="H255" s="32"/>
      <c r="I255" s="32"/>
      <c r="J255" s="32"/>
      <c r="K255" s="32"/>
      <c r="L255" s="32"/>
      <c r="M255" s="32"/>
      <c r="N255" s="32" t="s">
        <v>115</v>
      </c>
      <c r="O255" s="32" t="s">
        <v>111</v>
      </c>
      <c r="P255" s="32">
        <v>22</v>
      </c>
    </row>
    <row r="256" spans="1:16" x14ac:dyDescent="0.25">
      <c r="A256" s="31" t="s">
        <v>180</v>
      </c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 t="s">
        <v>116</v>
      </c>
      <c r="O256" s="31" t="s">
        <v>117</v>
      </c>
      <c r="P256" s="31">
        <v>22</v>
      </c>
    </row>
    <row r="257" spans="1:16" x14ac:dyDescent="0.25">
      <c r="A257" s="32" t="s">
        <v>181</v>
      </c>
      <c r="B257" s="32"/>
      <c r="C257" s="32"/>
      <c r="D257" s="32"/>
      <c r="E257" s="32"/>
      <c r="F257" s="32"/>
      <c r="G257" s="32"/>
      <c r="H257" s="32"/>
      <c r="I257" s="32"/>
      <c r="J257" s="32"/>
      <c r="K257" s="32"/>
      <c r="L257" s="32"/>
      <c r="M257" s="32"/>
      <c r="N257" s="32" t="s">
        <v>118</v>
      </c>
      <c r="O257" s="32" t="s">
        <v>117</v>
      </c>
      <c r="P257" s="32">
        <v>22</v>
      </c>
    </row>
    <row r="258" spans="1:16" x14ac:dyDescent="0.25">
      <c r="A258" s="31" t="s">
        <v>182</v>
      </c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 t="s">
        <v>119</v>
      </c>
      <c r="O258" s="31" t="s">
        <v>120</v>
      </c>
      <c r="P258" s="31">
        <v>22</v>
      </c>
    </row>
    <row r="259" spans="1:16" x14ac:dyDescent="0.25">
      <c r="A259" s="32" t="s">
        <v>183</v>
      </c>
      <c r="B259" s="32"/>
      <c r="C259" s="32"/>
      <c r="D259" s="32"/>
      <c r="E259" s="32"/>
      <c r="F259" s="32"/>
      <c r="G259" s="32"/>
      <c r="H259" s="32"/>
      <c r="I259" s="32"/>
      <c r="J259" s="32"/>
      <c r="K259" s="32"/>
      <c r="L259" s="32"/>
      <c r="M259" s="32"/>
      <c r="N259" s="32" t="s">
        <v>121</v>
      </c>
      <c r="O259" s="32" t="s">
        <v>122</v>
      </c>
      <c r="P259" s="32">
        <v>22</v>
      </c>
    </row>
    <row r="260" spans="1:16" x14ac:dyDescent="0.25">
      <c r="A260" s="31" t="s">
        <v>143</v>
      </c>
      <c r="B260" s="31" t="s">
        <v>137</v>
      </c>
      <c r="C260" s="31" t="s">
        <v>148</v>
      </c>
      <c r="D260" s="31" t="s">
        <v>153</v>
      </c>
      <c r="E260" s="31">
        <v>45658</v>
      </c>
      <c r="F260" s="31">
        <v>45869</v>
      </c>
      <c r="G260" s="31">
        <v>211</v>
      </c>
      <c r="H260" s="31">
        <v>45811</v>
      </c>
      <c r="I260" s="31">
        <v>153</v>
      </c>
      <c r="J260" s="31">
        <v>0.72511848341232232</v>
      </c>
      <c r="K260" s="31" t="s">
        <v>188</v>
      </c>
      <c r="L260" s="31"/>
      <c r="M260" s="31"/>
      <c r="N260" s="31"/>
      <c r="O260" s="31"/>
      <c r="P260" s="31">
        <v>23</v>
      </c>
    </row>
    <row r="261" spans="1:16" x14ac:dyDescent="0.25">
      <c r="A261" s="32" t="s">
        <v>144</v>
      </c>
      <c r="B261" s="32" t="s">
        <v>138</v>
      </c>
      <c r="C261" s="32" t="s">
        <v>148</v>
      </c>
      <c r="D261" s="32" t="s">
        <v>154</v>
      </c>
      <c r="E261" s="32">
        <v>45659</v>
      </c>
      <c r="F261" s="32">
        <v>45870</v>
      </c>
      <c r="G261" s="32">
        <v>211</v>
      </c>
      <c r="H261" s="32">
        <v>45811</v>
      </c>
      <c r="I261" s="32">
        <v>152</v>
      </c>
      <c r="J261" s="32">
        <v>0.72037914691943128</v>
      </c>
      <c r="K261" s="32" t="s">
        <v>189</v>
      </c>
      <c r="L261" s="32"/>
      <c r="M261" s="32"/>
      <c r="N261" s="32"/>
      <c r="O261" s="32"/>
      <c r="P261" s="32">
        <v>23</v>
      </c>
    </row>
    <row r="262" spans="1:16" x14ac:dyDescent="0.25">
      <c r="A262" s="31" t="s">
        <v>145</v>
      </c>
      <c r="B262" s="31" t="s">
        <v>139</v>
      </c>
      <c r="C262" s="31" t="s">
        <v>175</v>
      </c>
      <c r="D262" s="31" t="s">
        <v>155</v>
      </c>
      <c r="E262" s="31">
        <v>45660</v>
      </c>
      <c r="F262" s="31">
        <v>45871</v>
      </c>
      <c r="G262" s="31">
        <v>211</v>
      </c>
      <c r="H262" s="31">
        <v>45811</v>
      </c>
      <c r="I262" s="31">
        <v>151</v>
      </c>
      <c r="J262" s="31">
        <v>0.71563981042654023</v>
      </c>
      <c r="K262" s="31" t="s">
        <v>190</v>
      </c>
      <c r="L262" s="31"/>
      <c r="M262" s="31"/>
      <c r="N262" s="31"/>
      <c r="O262" s="31"/>
      <c r="P262" s="31">
        <v>23</v>
      </c>
    </row>
    <row r="263" spans="1:16" x14ac:dyDescent="0.25">
      <c r="A263" s="32" t="s">
        <v>146</v>
      </c>
      <c r="B263" s="32" t="s">
        <v>140</v>
      </c>
      <c r="C263" s="32" t="s">
        <v>150</v>
      </c>
      <c r="D263" s="32" t="s">
        <v>155</v>
      </c>
      <c r="E263" s="32">
        <v>45661</v>
      </c>
      <c r="F263" s="32">
        <v>45872</v>
      </c>
      <c r="G263" s="32">
        <v>211</v>
      </c>
      <c r="H263" s="32">
        <v>45811</v>
      </c>
      <c r="I263" s="32">
        <v>150</v>
      </c>
      <c r="J263" s="32">
        <v>0.7109004739336493</v>
      </c>
      <c r="K263" s="32" t="s">
        <v>191</v>
      </c>
      <c r="L263" s="32"/>
      <c r="M263" s="32"/>
      <c r="N263" s="32"/>
      <c r="O263" s="32"/>
      <c r="P263" s="32">
        <v>23</v>
      </c>
    </row>
    <row r="264" spans="1:16" x14ac:dyDescent="0.25">
      <c r="A264" s="31" t="s">
        <v>129</v>
      </c>
      <c r="B264" s="31" t="s">
        <v>141</v>
      </c>
      <c r="C264" s="31" t="s">
        <v>151</v>
      </c>
      <c r="D264" s="31" t="s">
        <v>156</v>
      </c>
      <c r="E264" s="31">
        <v>45662</v>
      </c>
      <c r="F264" s="31">
        <v>45873</v>
      </c>
      <c r="G264" s="31">
        <v>211</v>
      </c>
      <c r="H264" s="31">
        <v>45811</v>
      </c>
      <c r="I264" s="31">
        <v>149</v>
      </c>
      <c r="J264" s="31">
        <v>0.70616113744075826</v>
      </c>
      <c r="K264" s="31" t="s">
        <v>192</v>
      </c>
      <c r="L264" s="31"/>
      <c r="M264" s="31"/>
      <c r="N264" s="31"/>
      <c r="O264" s="31"/>
      <c r="P264" s="31">
        <v>23</v>
      </c>
    </row>
    <row r="265" spans="1:16" x14ac:dyDescent="0.25">
      <c r="A265" s="32" t="s">
        <v>147</v>
      </c>
      <c r="B265" s="32" t="s">
        <v>142</v>
      </c>
      <c r="C265" s="32" t="s">
        <v>152</v>
      </c>
      <c r="D265" s="32" t="s">
        <v>157</v>
      </c>
      <c r="E265" s="32">
        <v>45663</v>
      </c>
      <c r="F265" s="32">
        <v>45874</v>
      </c>
      <c r="G265" s="32">
        <v>211</v>
      </c>
      <c r="H265" s="32">
        <v>45811</v>
      </c>
      <c r="I265" s="32">
        <v>148</v>
      </c>
      <c r="J265" s="32">
        <v>0.70142180094786732</v>
      </c>
      <c r="K265" s="32" t="s">
        <v>193</v>
      </c>
      <c r="L265" s="32"/>
      <c r="M265" s="32"/>
      <c r="N265" s="32"/>
      <c r="O265" s="32"/>
      <c r="P265" s="32">
        <v>23</v>
      </c>
    </row>
    <row r="266" spans="1:16" x14ac:dyDescent="0.25">
      <c r="A266" s="31" t="s">
        <v>162</v>
      </c>
      <c r="B266" s="31" t="s">
        <v>159</v>
      </c>
      <c r="C266" s="31" t="s">
        <v>161</v>
      </c>
      <c r="D266" s="31" t="s">
        <v>163</v>
      </c>
      <c r="E266" s="31">
        <v>45664</v>
      </c>
      <c r="F266" s="31">
        <v>45875</v>
      </c>
      <c r="G266" s="31">
        <v>211</v>
      </c>
      <c r="H266" s="31">
        <v>45811</v>
      </c>
      <c r="I266" s="31">
        <v>147</v>
      </c>
      <c r="J266" s="31">
        <v>0.69668246445497628</v>
      </c>
      <c r="K266" s="31" t="s">
        <v>194</v>
      </c>
      <c r="L266" s="31"/>
      <c r="M266" s="31"/>
      <c r="N266" s="31"/>
      <c r="O266" s="31"/>
      <c r="P266" s="31">
        <v>23</v>
      </c>
    </row>
    <row r="267" spans="1:16" x14ac:dyDescent="0.25">
      <c r="A267" s="32" t="s">
        <v>165</v>
      </c>
      <c r="B267" s="32" t="s">
        <v>160</v>
      </c>
      <c r="C267" s="32" t="s">
        <v>161</v>
      </c>
      <c r="D267" s="32" t="s">
        <v>163</v>
      </c>
      <c r="E267" s="32">
        <v>45665</v>
      </c>
      <c r="F267" s="32">
        <v>45876</v>
      </c>
      <c r="G267" s="32">
        <v>211</v>
      </c>
      <c r="H267" s="32">
        <v>45811</v>
      </c>
      <c r="I267" s="32">
        <v>146</v>
      </c>
      <c r="J267" s="32">
        <v>0.69194312796208535</v>
      </c>
      <c r="K267" s="32" t="s">
        <v>195</v>
      </c>
      <c r="L267" s="32"/>
      <c r="M267" s="32"/>
      <c r="N267" s="32"/>
      <c r="O267" s="32"/>
      <c r="P267" s="32">
        <v>23</v>
      </c>
    </row>
    <row r="268" spans="1:16" x14ac:dyDescent="0.25">
      <c r="A268" s="31" t="s">
        <v>143</v>
      </c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 t="s">
        <v>0</v>
      </c>
      <c r="M268" s="31"/>
      <c r="N268" s="31"/>
      <c r="O268" s="31"/>
      <c r="P268" s="31">
        <v>23</v>
      </c>
    </row>
    <row r="269" spans="1:16" x14ac:dyDescent="0.25">
      <c r="A269" s="32" t="s">
        <v>143</v>
      </c>
      <c r="B269" s="32"/>
      <c r="C269" s="32"/>
      <c r="D269" s="32"/>
      <c r="E269" s="32"/>
      <c r="F269" s="32"/>
      <c r="G269" s="32"/>
      <c r="H269" s="32"/>
      <c r="I269" s="32"/>
      <c r="J269" s="32"/>
      <c r="K269" s="32"/>
      <c r="L269" s="32" t="s">
        <v>1</v>
      </c>
      <c r="M269" s="32" t="s">
        <v>2</v>
      </c>
      <c r="N269" s="32"/>
      <c r="O269" s="32"/>
      <c r="P269" s="32">
        <v>23</v>
      </c>
    </row>
    <row r="270" spans="1:16" x14ac:dyDescent="0.25">
      <c r="A270" s="31" t="s">
        <v>143</v>
      </c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 t="s">
        <v>3</v>
      </c>
      <c r="M270" s="31" t="s">
        <v>4</v>
      </c>
      <c r="N270" s="31"/>
      <c r="O270" s="31"/>
      <c r="P270" s="31">
        <v>23</v>
      </c>
    </row>
    <row r="271" spans="1:16" x14ac:dyDescent="0.25">
      <c r="A271" s="32" t="s">
        <v>143</v>
      </c>
      <c r="B271" s="32"/>
      <c r="C271" s="32"/>
      <c r="D271" s="32"/>
      <c r="E271" s="32"/>
      <c r="F271" s="32"/>
      <c r="G271" s="32"/>
      <c r="H271" s="32"/>
      <c r="I271" s="32"/>
      <c r="J271" s="32"/>
      <c r="K271" s="32"/>
      <c r="L271" s="32" t="s">
        <v>3</v>
      </c>
      <c r="M271" s="32" t="s">
        <v>4</v>
      </c>
      <c r="N271" s="32"/>
      <c r="O271" s="32"/>
      <c r="P271" s="32">
        <v>23</v>
      </c>
    </row>
    <row r="272" spans="1:16" x14ac:dyDescent="0.25">
      <c r="A272" s="31" t="s">
        <v>143</v>
      </c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 t="s">
        <v>5</v>
      </c>
      <c r="M272" s="31" t="s">
        <v>2</v>
      </c>
      <c r="N272" s="31"/>
      <c r="O272" s="31"/>
      <c r="P272" s="31">
        <v>23</v>
      </c>
    </row>
    <row r="273" spans="1:16" x14ac:dyDescent="0.25">
      <c r="A273" s="32" t="s">
        <v>144</v>
      </c>
      <c r="B273" s="32"/>
      <c r="C273" s="32"/>
      <c r="D273" s="32"/>
      <c r="E273" s="32"/>
      <c r="F273" s="32"/>
      <c r="G273" s="32"/>
      <c r="H273" s="32"/>
      <c r="I273" s="32"/>
      <c r="J273" s="32"/>
      <c r="K273" s="32"/>
      <c r="L273" s="32" t="s">
        <v>6</v>
      </c>
      <c r="M273" s="32"/>
      <c r="N273" s="32"/>
      <c r="O273" s="32"/>
      <c r="P273" s="32">
        <v>23</v>
      </c>
    </row>
    <row r="274" spans="1:16" x14ac:dyDescent="0.25">
      <c r="A274" s="31" t="s">
        <v>145</v>
      </c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 t="s">
        <v>7</v>
      </c>
      <c r="M274" s="31" t="s">
        <v>2</v>
      </c>
      <c r="N274" s="31"/>
      <c r="O274" s="31"/>
      <c r="P274" s="31">
        <v>23</v>
      </c>
    </row>
    <row r="275" spans="1:16" x14ac:dyDescent="0.25">
      <c r="A275" s="32" t="s">
        <v>146</v>
      </c>
      <c r="B275" s="32"/>
      <c r="C275" s="32"/>
      <c r="D275" s="32"/>
      <c r="E275" s="32"/>
      <c r="F275" s="32"/>
      <c r="G275" s="32"/>
      <c r="H275" s="32"/>
      <c r="I275" s="32"/>
      <c r="J275" s="32"/>
      <c r="K275" s="32"/>
      <c r="L275" s="32" t="s">
        <v>8</v>
      </c>
      <c r="M275" s="32"/>
      <c r="N275" s="32"/>
      <c r="O275" s="32"/>
      <c r="P275" s="32">
        <v>23</v>
      </c>
    </row>
    <row r="276" spans="1:16" x14ac:dyDescent="0.25">
      <c r="A276" s="31" t="s">
        <v>129</v>
      </c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 t="s">
        <v>9</v>
      </c>
      <c r="M276" s="31" t="s">
        <v>10</v>
      </c>
      <c r="N276" s="31"/>
      <c r="O276" s="31"/>
      <c r="P276" s="31">
        <v>23</v>
      </c>
    </row>
    <row r="277" spans="1:16" x14ac:dyDescent="0.25">
      <c r="A277" s="32" t="s">
        <v>144</v>
      </c>
      <c r="B277" s="32"/>
      <c r="C277" s="32"/>
      <c r="D277" s="32"/>
      <c r="E277" s="32"/>
      <c r="F277" s="32"/>
      <c r="G277" s="32"/>
      <c r="H277" s="32"/>
      <c r="I277" s="32"/>
      <c r="J277" s="32"/>
      <c r="K277" s="32"/>
      <c r="L277" s="32" t="s">
        <v>11</v>
      </c>
      <c r="M277" s="32" t="s">
        <v>2</v>
      </c>
      <c r="N277" s="32"/>
      <c r="O277" s="32"/>
      <c r="P277" s="32">
        <v>23</v>
      </c>
    </row>
    <row r="278" spans="1:16" x14ac:dyDescent="0.25">
      <c r="A278" s="31" t="s">
        <v>145</v>
      </c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 t="s">
        <v>12</v>
      </c>
      <c r="M278" s="31" t="s">
        <v>13</v>
      </c>
      <c r="N278" s="31"/>
      <c r="O278" s="31"/>
      <c r="P278" s="31">
        <v>23</v>
      </c>
    </row>
    <row r="279" spans="1:16" x14ac:dyDescent="0.25">
      <c r="A279" s="32" t="s">
        <v>146</v>
      </c>
      <c r="B279" s="32"/>
      <c r="C279" s="32"/>
      <c r="D279" s="32"/>
      <c r="E279" s="32"/>
      <c r="F279" s="32"/>
      <c r="G279" s="32"/>
      <c r="H279" s="32"/>
      <c r="I279" s="32"/>
      <c r="J279" s="32"/>
      <c r="K279" s="32"/>
      <c r="L279" s="32" t="s">
        <v>14</v>
      </c>
      <c r="M279" s="32"/>
      <c r="N279" s="32"/>
      <c r="O279" s="32"/>
      <c r="P279" s="32">
        <v>23</v>
      </c>
    </row>
    <row r="280" spans="1:16" x14ac:dyDescent="0.25">
      <c r="A280" s="31" t="s">
        <v>129</v>
      </c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 t="s">
        <v>15</v>
      </c>
      <c r="M280" s="31" t="s">
        <v>16</v>
      </c>
      <c r="N280" s="31"/>
      <c r="O280" s="31"/>
      <c r="P280" s="31">
        <v>23</v>
      </c>
    </row>
    <row r="281" spans="1:16" x14ac:dyDescent="0.25">
      <c r="A281" s="32" t="s">
        <v>147</v>
      </c>
      <c r="B281" s="32"/>
      <c r="C281" s="32"/>
      <c r="D281" s="32"/>
      <c r="E281" s="32"/>
      <c r="F281" s="32"/>
      <c r="G281" s="32"/>
      <c r="H281" s="32"/>
      <c r="I281" s="32"/>
      <c r="J281" s="32"/>
      <c r="K281" s="32"/>
      <c r="L281" s="32" t="s">
        <v>17</v>
      </c>
      <c r="M281" s="32" t="s">
        <v>13</v>
      </c>
      <c r="N281" s="32"/>
      <c r="O281" s="32"/>
      <c r="P281" s="32">
        <v>23</v>
      </c>
    </row>
    <row r="282" spans="1:16" x14ac:dyDescent="0.25">
      <c r="A282" s="31" t="s">
        <v>162</v>
      </c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 t="s">
        <v>18</v>
      </c>
      <c r="M282" s="31"/>
      <c r="N282" s="31"/>
      <c r="O282" s="31"/>
      <c r="P282" s="31">
        <v>23</v>
      </c>
    </row>
    <row r="283" spans="1:16" x14ac:dyDescent="0.25">
      <c r="A283" s="32" t="s">
        <v>165</v>
      </c>
      <c r="B283" s="32"/>
      <c r="C283" s="32"/>
      <c r="D283" s="32"/>
      <c r="E283" s="32"/>
      <c r="F283" s="32"/>
      <c r="G283" s="32"/>
      <c r="H283" s="32"/>
      <c r="I283" s="32"/>
      <c r="J283" s="32"/>
      <c r="K283" s="32"/>
      <c r="L283" s="32" t="s">
        <v>19</v>
      </c>
      <c r="M283" s="32" t="s">
        <v>20</v>
      </c>
      <c r="N283" s="32"/>
      <c r="O283" s="32"/>
      <c r="P283" s="32">
        <v>23</v>
      </c>
    </row>
    <row r="284" spans="1:16" x14ac:dyDescent="0.25">
      <c r="A284" s="31" t="s">
        <v>143</v>
      </c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 t="s">
        <v>21</v>
      </c>
      <c r="M284" s="31"/>
      <c r="N284" s="31"/>
      <c r="O284" s="31"/>
      <c r="P284" s="31">
        <v>23</v>
      </c>
    </row>
    <row r="285" spans="1:16" x14ac:dyDescent="0.25">
      <c r="A285" s="32" t="s">
        <v>144</v>
      </c>
      <c r="B285" s="32"/>
      <c r="C285" s="32"/>
      <c r="D285" s="32"/>
      <c r="E285" s="32"/>
      <c r="F285" s="32"/>
      <c r="G285" s="32"/>
      <c r="H285" s="32"/>
      <c r="I285" s="32"/>
      <c r="J285" s="32"/>
      <c r="K285" s="32"/>
      <c r="L285" s="32" t="s">
        <v>22</v>
      </c>
      <c r="M285" s="32" t="s">
        <v>23</v>
      </c>
      <c r="N285" s="32"/>
      <c r="O285" s="32"/>
      <c r="P285" s="32">
        <v>23</v>
      </c>
    </row>
    <row r="286" spans="1:16" x14ac:dyDescent="0.25">
      <c r="A286" s="31" t="s">
        <v>145</v>
      </c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 t="s">
        <v>24</v>
      </c>
      <c r="M286" s="31" t="s">
        <v>25</v>
      </c>
      <c r="N286" s="31"/>
      <c r="O286" s="31"/>
      <c r="P286" s="31">
        <v>23</v>
      </c>
    </row>
    <row r="287" spans="1:16" x14ac:dyDescent="0.25">
      <c r="A287" s="32" t="s">
        <v>146</v>
      </c>
      <c r="B287" s="32"/>
      <c r="C287" s="32"/>
      <c r="D287" s="32"/>
      <c r="E287" s="32"/>
      <c r="F287" s="32"/>
      <c r="G287" s="32"/>
      <c r="H287" s="32"/>
      <c r="I287" s="32"/>
      <c r="J287" s="32"/>
      <c r="K287" s="32"/>
      <c r="L287" s="32" t="s">
        <v>26</v>
      </c>
      <c r="M287" s="32" t="s">
        <v>27</v>
      </c>
      <c r="N287" s="32"/>
      <c r="O287" s="32"/>
      <c r="P287" s="32">
        <v>23</v>
      </c>
    </row>
    <row r="288" spans="1:16" x14ac:dyDescent="0.25">
      <c r="A288" s="31" t="s">
        <v>129</v>
      </c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 t="s">
        <v>28</v>
      </c>
      <c r="M288" s="31" t="s">
        <v>29</v>
      </c>
      <c r="N288" s="31"/>
      <c r="O288" s="31"/>
      <c r="P288" s="31">
        <v>23</v>
      </c>
    </row>
    <row r="289" spans="1:16" x14ac:dyDescent="0.25">
      <c r="A289" s="32" t="s">
        <v>147</v>
      </c>
      <c r="B289" s="32"/>
      <c r="C289" s="32"/>
      <c r="D289" s="32"/>
      <c r="E289" s="32"/>
      <c r="F289" s="32"/>
      <c r="G289" s="32"/>
      <c r="H289" s="32"/>
      <c r="I289" s="32"/>
      <c r="J289" s="32"/>
      <c r="K289" s="32"/>
      <c r="L289" s="32" t="s">
        <v>30</v>
      </c>
      <c r="M289" s="32" t="s">
        <v>31</v>
      </c>
      <c r="N289" s="32"/>
      <c r="O289" s="32"/>
      <c r="P289" s="32">
        <v>23</v>
      </c>
    </row>
    <row r="290" spans="1:16" x14ac:dyDescent="0.25">
      <c r="A290" s="31" t="s">
        <v>162</v>
      </c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 t="s">
        <v>32</v>
      </c>
      <c r="M290" s="31" t="s">
        <v>2</v>
      </c>
      <c r="N290" s="31"/>
      <c r="O290" s="31"/>
      <c r="P290" s="31">
        <v>23</v>
      </c>
    </row>
    <row r="291" spans="1:16" x14ac:dyDescent="0.25">
      <c r="A291" s="32" t="s">
        <v>165</v>
      </c>
      <c r="B291" s="32"/>
      <c r="C291" s="32"/>
      <c r="D291" s="32"/>
      <c r="E291" s="32"/>
      <c r="F291" s="32"/>
      <c r="G291" s="32"/>
      <c r="H291" s="32"/>
      <c r="I291" s="32"/>
      <c r="J291" s="32"/>
      <c r="K291" s="32"/>
      <c r="L291" s="32" t="s">
        <v>33</v>
      </c>
      <c r="M291" s="32" t="s">
        <v>34</v>
      </c>
      <c r="N291" s="32"/>
      <c r="O291" s="32"/>
      <c r="P291" s="32">
        <v>23</v>
      </c>
    </row>
    <row r="292" spans="1:16" x14ac:dyDescent="0.25">
      <c r="A292" s="31" t="s">
        <v>143</v>
      </c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 t="s">
        <v>35</v>
      </c>
      <c r="M292" s="31" t="s">
        <v>36</v>
      </c>
      <c r="N292" s="31"/>
      <c r="O292" s="31"/>
      <c r="P292" s="31">
        <v>23</v>
      </c>
    </row>
    <row r="293" spans="1:16" x14ac:dyDescent="0.25">
      <c r="A293" s="32" t="s">
        <v>144</v>
      </c>
      <c r="B293" s="32"/>
      <c r="C293" s="32"/>
      <c r="D293" s="32"/>
      <c r="E293" s="32"/>
      <c r="F293" s="32"/>
      <c r="G293" s="32"/>
      <c r="H293" s="32"/>
      <c r="I293" s="32"/>
      <c r="J293" s="32"/>
      <c r="K293" s="32"/>
      <c r="L293" s="32" t="s">
        <v>37</v>
      </c>
      <c r="M293" s="32"/>
      <c r="N293" s="32"/>
      <c r="O293" s="32"/>
      <c r="P293" s="32">
        <v>23</v>
      </c>
    </row>
    <row r="294" spans="1:16" x14ac:dyDescent="0.25">
      <c r="A294" s="31" t="s">
        <v>145</v>
      </c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 t="s">
        <v>38</v>
      </c>
      <c r="M294" s="31" t="s">
        <v>39</v>
      </c>
      <c r="N294" s="31"/>
      <c r="O294" s="31"/>
      <c r="P294" s="31">
        <v>23</v>
      </c>
    </row>
    <row r="295" spans="1:16" x14ac:dyDescent="0.25">
      <c r="A295" s="32" t="s">
        <v>146</v>
      </c>
      <c r="B295" s="32"/>
      <c r="C295" s="32"/>
      <c r="D295" s="32"/>
      <c r="E295" s="32"/>
      <c r="F295" s="32"/>
      <c r="G295" s="32"/>
      <c r="H295" s="32"/>
      <c r="I295" s="32"/>
      <c r="J295" s="32"/>
      <c r="K295" s="32"/>
      <c r="L295" s="32" t="s">
        <v>40</v>
      </c>
      <c r="M295" s="32" t="s">
        <v>41</v>
      </c>
      <c r="N295" s="32"/>
      <c r="O295" s="32"/>
      <c r="P295" s="32">
        <v>23</v>
      </c>
    </row>
    <row r="296" spans="1:16" x14ac:dyDescent="0.25">
      <c r="A296" s="31" t="s">
        <v>129</v>
      </c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 t="s">
        <v>42</v>
      </c>
      <c r="M296" s="31"/>
      <c r="N296" s="31"/>
      <c r="O296" s="31"/>
      <c r="P296" s="31">
        <v>23</v>
      </c>
    </row>
    <row r="297" spans="1:16" x14ac:dyDescent="0.25">
      <c r="A297" s="32" t="s">
        <v>147</v>
      </c>
      <c r="B297" s="32"/>
      <c r="C297" s="32"/>
      <c r="D297" s="32"/>
      <c r="E297" s="32"/>
      <c r="F297" s="32"/>
      <c r="G297" s="32"/>
      <c r="H297" s="32"/>
      <c r="I297" s="32"/>
      <c r="J297" s="32"/>
      <c r="K297" s="32"/>
      <c r="L297" s="32" t="s">
        <v>43</v>
      </c>
      <c r="M297" s="32" t="s">
        <v>44</v>
      </c>
      <c r="N297" s="32"/>
      <c r="O297" s="32"/>
      <c r="P297" s="32">
        <v>23</v>
      </c>
    </row>
    <row r="298" spans="1:16" x14ac:dyDescent="0.25">
      <c r="A298" s="31" t="s">
        <v>162</v>
      </c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 t="s">
        <v>45</v>
      </c>
      <c r="M298" s="31" t="s">
        <v>46</v>
      </c>
      <c r="N298" s="31"/>
      <c r="O298" s="31"/>
      <c r="P298" s="31">
        <v>23</v>
      </c>
    </row>
    <row r="299" spans="1:16" x14ac:dyDescent="0.25">
      <c r="A299" s="32" t="s">
        <v>165</v>
      </c>
      <c r="B299" s="32"/>
      <c r="C299" s="32"/>
      <c r="D299" s="32"/>
      <c r="E299" s="32"/>
      <c r="F299" s="32"/>
      <c r="G299" s="32"/>
      <c r="H299" s="32"/>
      <c r="I299" s="32"/>
      <c r="J299" s="32"/>
      <c r="K299" s="32"/>
      <c r="L299" s="32" t="s">
        <v>47</v>
      </c>
      <c r="M299" s="32" t="s">
        <v>48</v>
      </c>
      <c r="N299" s="32"/>
      <c r="O299" s="32"/>
      <c r="P299" s="32">
        <v>23</v>
      </c>
    </row>
    <row r="300" spans="1:16" x14ac:dyDescent="0.25">
      <c r="A300" s="31" t="s">
        <v>143</v>
      </c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 t="s">
        <v>49</v>
      </c>
      <c r="M300" s="31" t="s">
        <v>50</v>
      </c>
      <c r="N300" s="31"/>
      <c r="O300" s="31"/>
      <c r="P300" s="31">
        <v>23</v>
      </c>
    </row>
    <row r="301" spans="1:16" x14ac:dyDescent="0.25">
      <c r="A301" s="32" t="s">
        <v>144</v>
      </c>
      <c r="B301" s="32"/>
      <c r="C301" s="32"/>
      <c r="D301" s="32"/>
      <c r="E301" s="32"/>
      <c r="F301" s="32"/>
      <c r="G301" s="32"/>
      <c r="H301" s="32"/>
      <c r="I301" s="32"/>
      <c r="J301" s="32"/>
      <c r="K301" s="32"/>
      <c r="L301" s="32" t="s">
        <v>51</v>
      </c>
      <c r="M301" s="32" t="s">
        <v>52</v>
      </c>
      <c r="N301" s="32"/>
      <c r="O301" s="32"/>
      <c r="P301" s="32">
        <v>23</v>
      </c>
    </row>
    <row r="302" spans="1:16" x14ac:dyDescent="0.25">
      <c r="A302" s="31" t="s">
        <v>145</v>
      </c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 t="s">
        <v>53</v>
      </c>
      <c r="M302" s="31" t="s">
        <v>13</v>
      </c>
      <c r="N302" s="31"/>
      <c r="O302" s="31"/>
      <c r="P302" s="31">
        <v>23</v>
      </c>
    </row>
    <row r="303" spans="1:16" x14ac:dyDescent="0.25">
      <c r="A303" s="32" t="s">
        <v>146</v>
      </c>
      <c r="B303" s="32"/>
      <c r="C303" s="32"/>
      <c r="D303" s="32"/>
      <c r="E303" s="32"/>
      <c r="F303" s="32"/>
      <c r="G303" s="32"/>
      <c r="H303" s="32"/>
      <c r="I303" s="32"/>
      <c r="J303" s="32"/>
      <c r="K303" s="32"/>
      <c r="L303" s="32" t="s">
        <v>54</v>
      </c>
      <c r="M303" s="32" t="s">
        <v>2</v>
      </c>
      <c r="N303" s="32"/>
      <c r="O303" s="32"/>
      <c r="P303" s="32">
        <v>23</v>
      </c>
    </row>
    <row r="304" spans="1:16" x14ac:dyDescent="0.25">
      <c r="A304" s="31" t="s">
        <v>129</v>
      </c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 t="s">
        <v>55</v>
      </c>
      <c r="M304" s="31" t="s">
        <v>56</v>
      </c>
      <c r="N304" s="31"/>
      <c r="O304" s="31"/>
      <c r="P304" s="31">
        <v>23</v>
      </c>
    </row>
    <row r="305" spans="1:16" x14ac:dyDescent="0.25">
      <c r="A305" s="32" t="s">
        <v>147</v>
      </c>
      <c r="B305" s="32"/>
      <c r="C305" s="32"/>
      <c r="D305" s="32"/>
      <c r="E305" s="32"/>
      <c r="F305" s="32"/>
      <c r="G305" s="32"/>
      <c r="H305" s="32"/>
      <c r="I305" s="32"/>
      <c r="J305" s="32"/>
      <c r="K305" s="32"/>
      <c r="L305" s="32" t="s">
        <v>57</v>
      </c>
      <c r="M305" s="32" t="s">
        <v>58</v>
      </c>
      <c r="N305" s="32"/>
      <c r="O305" s="32"/>
      <c r="P305" s="32">
        <v>23</v>
      </c>
    </row>
    <row r="306" spans="1:16" x14ac:dyDescent="0.25">
      <c r="A306" s="31" t="s">
        <v>162</v>
      </c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 t="s">
        <v>59</v>
      </c>
      <c r="M306" s="31" t="s">
        <v>60</v>
      </c>
      <c r="N306" s="31"/>
      <c r="O306" s="31"/>
      <c r="P306" s="31">
        <v>23</v>
      </c>
    </row>
    <row r="307" spans="1:16" x14ac:dyDescent="0.25">
      <c r="A307" s="32" t="s">
        <v>165</v>
      </c>
      <c r="B307" s="32"/>
      <c r="C307" s="32"/>
      <c r="D307" s="32"/>
      <c r="E307" s="32"/>
      <c r="F307" s="32"/>
      <c r="G307" s="32"/>
      <c r="H307" s="32"/>
      <c r="I307" s="32"/>
      <c r="J307" s="32"/>
      <c r="K307" s="32"/>
      <c r="L307" s="32" t="s">
        <v>61</v>
      </c>
      <c r="M307" s="32" t="s">
        <v>27</v>
      </c>
      <c r="N307" s="32"/>
      <c r="O307" s="32"/>
      <c r="P307" s="32">
        <v>23</v>
      </c>
    </row>
    <row r="308" spans="1:16" x14ac:dyDescent="0.25">
      <c r="A308" s="31" t="s">
        <v>143</v>
      </c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 t="s">
        <v>62</v>
      </c>
      <c r="M308" s="31" t="s">
        <v>27</v>
      </c>
      <c r="N308" s="31"/>
      <c r="O308" s="31"/>
      <c r="P308" s="31">
        <v>23</v>
      </c>
    </row>
    <row r="309" spans="1:16" x14ac:dyDescent="0.25">
      <c r="A309" s="32" t="s">
        <v>144</v>
      </c>
      <c r="B309" s="32"/>
      <c r="C309" s="32"/>
      <c r="D309" s="32"/>
      <c r="E309" s="32"/>
      <c r="F309" s="32"/>
      <c r="G309" s="32"/>
      <c r="H309" s="32"/>
      <c r="I309" s="32"/>
      <c r="J309" s="32"/>
      <c r="K309" s="32"/>
      <c r="L309" s="32" t="s">
        <v>63</v>
      </c>
      <c r="M309" s="32"/>
      <c r="N309" s="32"/>
      <c r="O309" s="32"/>
      <c r="P309" s="32">
        <v>23</v>
      </c>
    </row>
    <row r="310" spans="1:16" x14ac:dyDescent="0.25">
      <c r="A310" s="31" t="s">
        <v>145</v>
      </c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 t="s">
        <v>64</v>
      </c>
      <c r="M310" s="31" t="s">
        <v>65</v>
      </c>
      <c r="N310" s="31"/>
      <c r="O310" s="31"/>
      <c r="P310" s="31">
        <v>23</v>
      </c>
    </row>
    <row r="311" spans="1:16" x14ac:dyDescent="0.25">
      <c r="A311" s="32" t="s">
        <v>146</v>
      </c>
      <c r="B311" s="32"/>
      <c r="C311" s="32"/>
      <c r="D311" s="32"/>
      <c r="E311" s="32"/>
      <c r="F311" s="32"/>
      <c r="G311" s="32"/>
      <c r="H311" s="32"/>
      <c r="I311" s="32"/>
      <c r="J311" s="32"/>
      <c r="K311" s="32"/>
      <c r="L311" s="32" t="s">
        <v>66</v>
      </c>
      <c r="M311" s="32" t="s">
        <v>2</v>
      </c>
      <c r="N311" s="32"/>
      <c r="O311" s="32"/>
      <c r="P311" s="32">
        <v>23</v>
      </c>
    </row>
    <row r="312" spans="1:16" x14ac:dyDescent="0.25">
      <c r="A312" s="31" t="s">
        <v>129</v>
      </c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 t="s">
        <v>67</v>
      </c>
      <c r="M312" s="31" t="s">
        <v>68</v>
      </c>
      <c r="N312" s="31"/>
      <c r="O312" s="31"/>
      <c r="P312" s="31">
        <v>23</v>
      </c>
    </row>
    <row r="313" spans="1:16" x14ac:dyDescent="0.25">
      <c r="A313" s="32" t="s">
        <v>147</v>
      </c>
      <c r="B313" s="32"/>
      <c r="C313" s="32"/>
      <c r="D313" s="32"/>
      <c r="E313" s="32"/>
      <c r="F313" s="32"/>
      <c r="G313" s="32"/>
      <c r="H313" s="32"/>
      <c r="I313" s="32"/>
      <c r="J313" s="32"/>
      <c r="K313" s="32"/>
      <c r="L313" s="32" t="s">
        <v>69</v>
      </c>
      <c r="M313" s="32" t="s">
        <v>65</v>
      </c>
      <c r="N313" s="32"/>
      <c r="O313" s="32"/>
      <c r="P313" s="32">
        <v>23</v>
      </c>
    </row>
    <row r="314" spans="1:16" x14ac:dyDescent="0.25">
      <c r="A314" s="31" t="s">
        <v>162</v>
      </c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 t="s">
        <v>70</v>
      </c>
      <c r="M314" s="31" t="s">
        <v>65</v>
      </c>
      <c r="N314" s="31"/>
      <c r="O314" s="31"/>
      <c r="P314" s="31">
        <v>23</v>
      </c>
    </row>
    <row r="315" spans="1:16" x14ac:dyDescent="0.25">
      <c r="A315" s="32" t="s">
        <v>165</v>
      </c>
      <c r="B315" s="32"/>
      <c r="C315" s="32"/>
      <c r="D315" s="32"/>
      <c r="E315" s="32"/>
      <c r="F315" s="32"/>
      <c r="G315" s="32"/>
      <c r="H315" s="32"/>
      <c r="I315" s="32"/>
      <c r="J315" s="32"/>
      <c r="K315" s="32"/>
      <c r="L315" s="32" t="s">
        <v>71</v>
      </c>
      <c r="M315" s="32"/>
      <c r="N315" s="32"/>
      <c r="O315" s="32"/>
      <c r="P315" s="32">
        <v>23</v>
      </c>
    </row>
    <row r="316" spans="1:16" x14ac:dyDescent="0.25">
      <c r="A316" s="31" t="s">
        <v>143</v>
      </c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 t="s">
        <v>72</v>
      </c>
      <c r="O316" s="31" t="s">
        <v>73</v>
      </c>
      <c r="P316" s="31">
        <v>23</v>
      </c>
    </row>
    <row r="317" spans="1:16" x14ac:dyDescent="0.25">
      <c r="A317" s="32" t="s">
        <v>144</v>
      </c>
      <c r="B317" s="32"/>
      <c r="C317" s="32"/>
      <c r="D317" s="32"/>
      <c r="E317" s="32"/>
      <c r="F317" s="32"/>
      <c r="G317" s="32"/>
      <c r="H317" s="32"/>
      <c r="I317" s="32"/>
      <c r="J317" s="32"/>
      <c r="K317" s="32"/>
      <c r="L317" s="32"/>
      <c r="M317" s="32"/>
      <c r="N317" s="32" t="s">
        <v>74</v>
      </c>
      <c r="O317" s="32" t="s">
        <v>75</v>
      </c>
      <c r="P317" s="32">
        <v>23</v>
      </c>
    </row>
    <row r="318" spans="1:16" x14ac:dyDescent="0.25">
      <c r="A318" s="31" t="s">
        <v>145</v>
      </c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 t="s">
        <v>76</v>
      </c>
      <c r="O318" s="31" t="s">
        <v>77</v>
      </c>
      <c r="P318" s="31">
        <v>23</v>
      </c>
    </row>
    <row r="319" spans="1:16" x14ac:dyDescent="0.25">
      <c r="A319" s="32" t="s">
        <v>146</v>
      </c>
      <c r="B319" s="32"/>
      <c r="C319" s="32"/>
      <c r="D319" s="32"/>
      <c r="E319" s="32"/>
      <c r="F319" s="32"/>
      <c r="G319" s="32"/>
      <c r="H319" s="32"/>
      <c r="I319" s="32"/>
      <c r="J319" s="32"/>
      <c r="K319" s="32"/>
      <c r="L319" s="32"/>
      <c r="M319" s="32"/>
      <c r="N319" s="32" t="s">
        <v>78</v>
      </c>
      <c r="O319" s="32" t="s">
        <v>79</v>
      </c>
      <c r="P319" s="32">
        <v>23</v>
      </c>
    </row>
    <row r="320" spans="1:16" x14ac:dyDescent="0.25">
      <c r="A320" s="31" t="s">
        <v>129</v>
      </c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 t="s">
        <v>80</v>
      </c>
      <c r="O320" s="31" t="s">
        <v>81</v>
      </c>
      <c r="P320" s="31">
        <v>23</v>
      </c>
    </row>
    <row r="321" spans="1:16" x14ac:dyDescent="0.25">
      <c r="A321" s="32" t="s">
        <v>147</v>
      </c>
      <c r="B321" s="32"/>
      <c r="C321" s="32"/>
      <c r="D321" s="32"/>
      <c r="E321" s="32"/>
      <c r="F321" s="32"/>
      <c r="G321" s="32"/>
      <c r="H321" s="32"/>
      <c r="I321" s="32"/>
      <c r="J321" s="32"/>
      <c r="K321" s="32"/>
      <c r="L321" s="32"/>
      <c r="M321" s="32"/>
      <c r="N321" s="32" t="s">
        <v>82</v>
      </c>
      <c r="O321" s="32" t="s">
        <v>83</v>
      </c>
      <c r="P321" s="32">
        <v>23</v>
      </c>
    </row>
    <row r="322" spans="1:16" x14ac:dyDescent="0.25">
      <c r="A322" s="31" t="s">
        <v>162</v>
      </c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 t="s">
        <v>84</v>
      </c>
      <c r="O322" s="31" t="s">
        <v>77</v>
      </c>
      <c r="P322" s="31">
        <v>23</v>
      </c>
    </row>
    <row r="323" spans="1:16" x14ac:dyDescent="0.25">
      <c r="A323" s="32" t="s">
        <v>165</v>
      </c>
      <c r="B323" s="32"/>
      <c r="C323" s="32"/>
      <c r="D323" s="32"/>
      <c r="E323" s="32"/>
      <c r="F323" s="32"/>
      <c r="G323" s="32"/>
      <c r="H323" s="32"/>
      <c r="I323" s="32"/>
      <c r="J323" s="32"/>
      <c r="K323" s="32"/>
      <c r="L323" s="32"/>
      <c r="M323" s="32"/>
      <c r="N323" s="32" t="s">
        <v>85</v>
      </c>
      <c r="O323" s="32" t="s">
        <v>86</v>
      </c>
      <c r="P323" s="32">
        <v>23</v>
      </c>
    </row>
    <row r="324" spans="1:16" x14ac:dyDescent="0.25">
      <c r="A324" s="31" t="s">
        <v>143</v>
      </c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 t="s">
        <v>87</v>
      </c>
      <c r="O324" s="31" t="s">
        <v>88</v>
      </c>
      <c r="P324" s="31">
        <v>23</v>
      </c>
    </row>
    <row r="325" spans="1:16" x14ac:dyDescent="0.25">
      <c r="A325" s="32" t="s">
        <v>144</v>
      </c>
      <c r="B325" s="32"/>
      <c r="C325" s="32"/>
      <c r="D325" s="32"/>
      <c r="E325" s="32"/>
      <c r="F325" s="32"/>
      <c r="G325" s="32"/>
      <c r="H325" s="32"/>
      <c r="I325" s="32"/>
      <c r="J325" s="32"/>
      <c r="K325" s="32"/>
      <c r="L325" s="32"/>
      <c r="M325" s="32"/>
      <c r="N325" s="32" t="s">
        <v>89</v>
      </c>
      <c r="O325" s="32" t="s">
        <v>90</v>
      </c>
      <c r="P325" s="32">
        <v>23</v>
      </c>
    </row>
    <row r="326" spans="1:16" x14ac:dyDescent="0.25">
      <c r="A326" s="31" t="s">
        <v>145</v>
      </c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 t="s">
        <v>91</v>
      </c>
      <c r="O326" s="31" t="s">
        <v>92</v>
      </c>
      <c r="P326" s="31">
        <v>23</v>
      </c>
    </row>
    <row r="327" spans="1:16" x14ac:dyDescent="0.25">
      <c r="A327" s="32" t="s">
        <v>146</v>
      </c>
      <c r="B327" s="32"/>
      <c r="C327" s="32"/>
      <c r="D327" s="32"/>
      <c r="E327" s="32"/>
      <c r="F327" s="32"/>
      <c r="G327" s="32"/>
      <c r="H327" s="32"/>
      <c r="I327" s="32"/>
      <c r="J327" s="32"/>
      <c r="K327" s="32"/>
      <c r="L327" s="32"/>
      <c r="M327" s="32"/>
      <c r="N327" s="32" t="s">
        <v>93</v>
      </c>
      <c r="O327" s="32" t="s">
        <v>94</v>
      </c>
      <c r="P327" s="32">
        <v>23</v>
      </c>
    </row>
    <row r="328" spans="1:16" x14ac:dyDescent="0.25">
      <c r="A328" s="31" t="s">
        <v>129</v>
      </c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 t="s">
        <v>95</v>
      </c>
      <c r="O328" s="31" t="s">
        <v>96</v>
      </c>
      <c r="P328" s="31">
        <v>23</v>
      </c>
    </row>
    <row r="329" spans="1:16" x14ac:dyDescent="0.25">
      <c r="A329" s="32" t="s">
        <v>147</v>
      </c>
      <c r="B329" s="32"/>
      <c r="C329" s="32"/>
      <c r="D329" s="32"/>
      <c r="E329" s="32"/>
      <c r="F329" s="32"/>
      <c r="G329" s="32"/>
      <c r="H329" s="32"/>
      <c r="I329" s="32"/>
      <c r="J329" s="32"/>
      <c r="K329" s="32"/>
      <c r="L329" s="32"/>
      <c r="M329" s="32"/>
      <c r="N329" s="32" t="s">
        <v>97</v>
      </c>
      <c r="O329" s="32" t="s">
        <v>98</v>
      </c>
      <c r="P329" s="32">
        <v>23</v>
      </c>
    </row>
    <row r="330" spans="1:16" x14ac:dyDescent="0.25">
      <c r="A330" s="31" t="s">
        <v>162</v>
      </c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 t="s">
        <v>99</v>
      </c>
      <c r="O330" s="31" t="s">
        <v>98</v>
      </c>
      <c r="P330" s="31">
        <v>23</v>
      </c>
    </row>
    <row r="331" spans="1:16" x14ac:dyDescent="0.25">
      <c r="A331" s="32" t="s">
        <v>165</v>
      </c>
      <c r="B331" s="32"/>
      <c r="C331" s="32"/>
      <c r="D331" s="32"/>
      <c r="E331" s="32"/>
      <c r="F331" s="32"/>
      <c r="G331" s="32"/>
      <c r="H331" s="32"/>
      <c r="I331" s="32"/>
      <c r="J331" s="32"/>
      <c r="K331" s="32"/>
      <c r="L331" s="32"/>
      <c r="M331" s="32"/>
      <c r="N331" s="32" t="s">
        <v>100</v>
      </c>
      <c r="O331" s="32" t="s">
        <v>101</v>
      </c>
      <c r="P331" s="32">
        <v>23</v>
      </c>
    </row>
    <row r="332" spans="1:16" x14ac:dyDescent="0.25">
      <c r="A332" s="31" t="s">
        <v>143</v>
      </c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 t="s">
        <v>102</v>
      </c>
      <c r="O332" s="31" t="s">
        <v>103</v>
      </c>
      <c r="P332" s="31">
        <v>23</v>
      </c>
    </row>
    <row r="333" spans="1:16" x14ac:dyDescent="0.25">
      <c r="A333" s="32" t="s">
        <v>144</v>
      </c>
      <c r="B333" s="32"/>
      <c r="C333" s="32"/>
      <c r="D333" s="32"/>
      <c r="E333" s="32"/>
      <c r="F333" s="32"/>
      <c r="G333" s="32"/>
      <c r="H333" s="32"/>
      <c r="I333" s="32"/>
      <c r="J333" s="32"/>
      <c r="K333" s="32"/>
      <c r="L333" s="32"/>
      <c r="M333" s="32"/>
      <c r="N333" s="32" t="s">
        <v>104</v>
      </c>
      <c r="O333" s="32" t="s">
        <v>103</v>
      </c>
      <c r="P333" s="32">
        <v>23</v>
      </c>
    </row>
    <row r="334" spans="1:16" x14ac:dyDescent="0.25">
      <c r="A334" s="31" t="s">
        <v>145</v>
      </c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 t="s">
        <v>105</v>
      </c>
      <c r="O334" s="31" t="s">
        <v>106</v>
      </c>
      <c r="P334" s="31">
        <v>23</v>
      </c>
    </row>
    <row r="335" spans="1:16" x14ac:dyDescent="0.25">
      <c r="A335" s="32" t="s">
        <v>146</v>
      </c>
      <c r="B335" s="32"/>
      <c r="C335" s="32"/>
      <c r="D335" s="32"/>
      <c r="E335" s="32"/>
      <c r="F335" s="32"/>
      <c r="G335" s="32"/>
      <c r="H335" s="32"/>
      <c r="I335" s="32"/>
      <c r="J335" s="32"/>
      <c r="K335" s="32"/>
      <c r="L335" s="32"/>
      <c r="M335" s="32"/>
      <c r="N335" s="32" t="s">
        <v>107</v>
      </c>
      <c r="O335" s="32" t="s">
        <v>79</v>
      </c>
      <c r="P335" s="32">
        <v>23</v>
      </c>
    </row>
    <row r="336" spans="1:16" x14ac:dyDescent="0.25">
      <c r="A336" s="31" t="s">
        <v>129</v>
      </c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 t="s">
        <v>108</v>
      </c>
      <c r="O336" s="31" t="s">
        <v>109</v>
      </c>
      <c r="P336" s="31">
        <v>23</v>
      </c>
    </row>
    <row r="337" spans="1:16" x14ac:dyDescent="0.25">
      <c r="A337" s="32" t="s">
        <v>147</v>
      </c>
      <c r="B337" s="32"/>
      <c r="C337" s="32"/>
      <c r="D337" s="32"/>
      <c r="E337" s="32"/>
      <c r="F337" s="32"/>
      <c r="G337" s="32"/>
      <c r="H337" s="32"/>
      <c r="I337" s="32"/>
      <c r="J337" s="32"/>
      <c r="K337" s="32"/>
      <c r="L337" s="32"/>
      <c r="M337" s="32"/>
      <c r="N337" s="32" t="s">
        <v>110</v>
      </c>
      <c r="O337" s="32" t="s">
        <v>111</v>
      </c>
      <c r="P337" s="32">
        <v>23</v>
      </c>
    </row>
    <row r="338" spans="1:16" x14ac:dyDescent="0.25">
      <c r="A338" s="31" t="s">
        <v>162</v>
      </c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 t="s">
        <v>112</v>
      </c>
      <c r="O338" s="31" t="s">
        <v>109</v>
      </c>
      <c r="P338" s="31">
        <v>23</v>
      </c>
    </row>
    <row r="339" spans="1:16" x14ac:dyDescent="0.25">
      <c r="A339" s="32" t="s">
        <v>165</v>
      </c>
      <c r="B339" s="32"/>
      <c r="C339" s="32"/>
      <c r="D339" s="32"/>
      <c r="E339" s="32"/>
      <c r="F339" s="32"/>
      <c r="G339" s="32"/>
      <c r="H339" s="32"/>
      <c r="I339" s="32"/>
      <c r="J339" s="32"/>
      <c r="K339" s="32"/>
      <c r="L339" s="32"/>
      <c r="M339" s="32"/>
      <c r="N339" s="32" t="s">
        <v>113</v>
      </c>
      <c r="O339" s="32" t="s">
        <v>109</v>
      </c>
      <c r="P339" s="32">
        <v>23</v>
      </c>
    </row>
    <row r="340" spans="1:16" x14ac:dyDescent="0.25">
      <c r="A340" s="31" t="s">
        <v>143</v>
      </c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 t="s">
        <v>114</v>
      </c>
      <c r="O340" s="31" t="s">
        <v>111</v>
      </c>
      <c r="P340" s="31">
        <v>23</v>
      </c>
    </row>
    <row r="341" spans="1:16" x14ac:dyDescent="0.25">
      <c r="A341" s="32" t="s">
        <v>144</v>
      </c>
      <c r="B341" s="32"/>
      <c r="C341" s="32"/>
      <c r="D341" s="32"/>
      <c r="E341" s="32"/>
      <c r="F341" s="32"/>
      <c r="G341" s="32"/>
      <c r="H341" s="32"/>
      <c r="I341" s="32"/>
      <c r="J341" s="32"/>
      <c r="K341" s="32"/>
      <c r="L341" s="32"/>
      <c r="M341" s="32"/>
      <c r="N341" s="32" t="s">
        <v>115</v>
      </c>
      <c r="O341" s="32" t="s">
        <v>111</v>
      </c>
      <c r="P341" s="32">
        <v>23</v>
      </c>
    </row>
    <row r="342" spans="1:16" x14ac:dyDescent="0.25">
      <c r="A342" s="31" t="s">
        <v>145</v>
      </c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 t="s">
        <v>116</v>
      </c>
      <c r="O342" s="31" t="s">
        <v>117</v>
      </c>
      <c r="P342" s="31">
        <v>23</v>
      </c>
    </row>
    <row r="343" spans="1:16" x14ac:dyDescent="0.25">
      <c r="A343" s="32" t="s">
        <v>146</v>
      </c>
      <c r="B343" s="32"/>
      <c r="C343" s="32"/>
      <c r="D343" s="32"/>
      <c r="E343" s="32"/>
      <c r="F343" s="32"/>
      <c r="G343" s="32"/>
      <c r="H343" s="32"/>
      <c r="I343" s="32"/>
      <c r="J343" s="32"/>
      <c r="K343" s="32"/>
      <c r="L343" s="32"/>
      <c r="M343" s="32"/>
      <c r="N343" s="32" t="s">
        <v>118</v>
      </c>
      <c r="O343" s="32" t="s">
        <v>117</v>
      </c>
      <c r="P343" s="32">
        <v>23</v>
      </c>
    </row>
    <row r="344" spans="1:16" x14ac:dyDescent="0.25">
      <c r="A344" s="31" t="s">
        <v>129</v>
      </c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 t="s">
        <v>119</v>
      </c>
      <c r="O344" s="31" t="s">
        <v>120</v>
      </c>
      <c r="P344" s="31">
        <v>23</v>
      </c>
    </row>
    <row r="345" spans="1:16" x14ac:dyDescent="0.25">
      <c r="A345" s="32" t="s">
        <v>147</v>
      </c>
      <c r="B345" s="32"/>
      <c r="C345" s="32"/>
      <c r="D345" s="32"/>
      <c r="E345" s="32"/>
      <c r="F345" s="32"/>
      <c r="G345" s="32"/>
      <c r="H345" s="32"/>
      <c r="I345" s="32"/>
      <c r="J345" s="32"/>
      <c r="K345" s="32"/>
      <c r="L345" s="32"/>
      <c r="M345" s="32"/>
      <c r="N345" s="32" t="s">
        <v>121</v>
      </c>
      <c r="O345" s="32" t="s">
        <v>122</v>
      </c>
      <c r="P345" s="32">
        <v>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Dashboard Settimana</vt:lpstr>
      <vt:lpstr>Visualizza</vt:lpstr>
      <vt:lpstr>20</vt:lpstr>
      <vt:lpstr>21</vt:lpstr>
      <vt:lpstr>22</vt:lpstr>
      <vt:lpstr>23</vt:lpstr>
      <vt:lpstr>Riepilogo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SALVATORE NAVE</dc:creator>
  <cp:lastModifiedBy>SALVATORE NAVE</cp:lastModifiedBy>
  <dcterms:created xsi:type="dcterms:W3CDTF">2025-05-29T12:17:25Z</dcterms:created>
  <dcterms:modified xsi:type="dcterms:W3CDTF">2025-06-09T07:57:26Z</dcterms:modified>
</cp:coreProperties>
</file>